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jaih\Desktop\Wind Farm Contractual KPI &amp; SLA Monitoring System\"/>
    </mc:Choice>
  </mc:AlternateContent>
  <xr:revisionPtr revIDLastSave="0" documentId="13_ncr:1_{4A20CEB0-B12D-4A5C-904A-0F38A8586490}" xr6:coauthVersionLast="47" xr6:coauthVersionMax="47" xr10:uidLastSave="{00000000-0000-0000-0000-000000000000}"/>
  <bookViews>
    <workbookView xWindow="-108" yWindow="-108" windowWidth="23256" windowHeight="12456" tabRatio="628" xr2:uid="{00000000-000D-0000-FFFF-FFFF00000000}"/>
  </bookViews>
  <sheets>
    <sheet name="Dashboard" sheetId="6" r:id="rId1"/>
    <sheet name="Pivot Table" sheetId="5" r:id="rId2"/>
    <sheet name="SLA Table" sheetId="2" r:id="rId3"/>
    <sheet name="Breach Table" sheetId="3" r:id="rId4"/>
  </sheets>
  <definedNames>
    <definedName name="ExternalData_1" localSheetId="3" hidden="1">'Breach Table'!$A$1:$I$4</definedName>
    <definedName name="ExternalData_1" localSheetId="2" hidden="1">'SLA Table'!$A$1:$I$61</definedName>
    <definedName name="Slicer_Months__Month">#N/A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6" l="1"/>
  <c r="G2" i="6"/>
  <c r="D2" i="6"/>
  <c r="A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11993-12E7-4266-A2A8-3C7B46F0F47F}" keepAlive="1" name="Query - qry_SLA_Breach" description="Connection to the 'qry_SLA_Breach' query in the workbook." type="5" refreshedVersion="8" background="1" saveData="1">
    <dbPr connection="Provider=Microsoft.Mashup.OleDb.1;Data Source=$Workbook$;Location=qry_SLA_Breach;Extended Properties=&quot;&quot;" command="SELECT * FROM [qry_SLA_Breach]"/>
  </connection>
  <connection id="2" xr16:uid="{93CD3AA7-FD25-4A9D-B73D-C12D53C9684F}" keepAlive="1" name="Query - qry_SLA_Performance" description="Connection to the 'qry_SLA_Performance' query in the workbook." type="5" refreshedVersion="8" background="1" saveData="1">
    <dbPr connection="Provider=Microsoft.Mashup.OleDb.1;Data Source=$Workbook$;Location=qry_SLA_Performance;Extended Properties=&quot;&quot;" command="SELECT * FROM [qry_SLA_Performance]"/>
  </connection>
  <connection id="3" xr16:uid="{78777D66-AF21-4517-B7B8-F106CF16083C}" keepAlive="1" name="Query - qry_SLA_Performance (2)" description="Connection to the 'qry_SLA_Performance (2)' query in the workbook." type="5" refreshedVersion="8" background="1" saveData="1">
    <dbPr connection="Provider=Microsoft.Mashup.OleDb.1;Data Source=$Workbook$;Location=&quot;qry_SLA_Performance (2)&quot;;Extended Properties=&quot;&quot;" command="SELECT * FROM [qry_SLA_Performance (2)]"/>
  </connection>
</connections>
</file>

<file path=xl/sharedStrings.xml><?xml version="1.0" encoding="utf-8"?>
<sst xmlns="http://schemas.openxmlformats.org/spreadsheetml/2006/main" count="191" uniqueCount="38">
  <si>
    <t>SiteName</t>
  </si>
  <si>
    <t>Month</t>
  </si>
  <si>
    <t>ContractedAvailability_pct</t>
  </si>
  <si>
    <t>ActualAvailability_pct</t>
  </si>
  <si>
    <t>ContractedProduction_MWh</t>
  </si>
  <si>
    <t>ActualProduction_MWh</t>
  </si>
  <si>
    <t>Availability_SLA</t>
  </si>
  <si>
    <t>Production_SLA</t>
  </si>
  <si>
    <t>SLA_Status</t>
  </si>
  <si>
    <t>Tamil Nadu Wind Farm 1</t>
  </si>
  <si>
    <t>Met SLA</t>
  </si>
  <si>
    <t>Breach</t>
  </si>
  <si>
    <t>Rajasthan Wind Park A</t>
  </si>
  <si>
    <t>Gujarat Coastal Farm</t>
  </si>
  <si>
    <t>Andhra Pradesh Site 1</t>
  </si>
  <si>
    <t>Maharashtra Wind Hub</t>
  </si>
  <si>
    <t>Row Labels</t>
  </si>
  <si>
    <t>Grand Total</t>
  </si>
  <si>
    <t>Average of Availability_SLA</t>
  </si>
  <si>
    <t>Availability SLA by Site</t>
  </si>
  <si>
    <t>Production SLA by Site</t>
  </si>
  <si>
    <t>Average of Production_SLA</t>
  </si>
  <si>
    <t>Monthly Trend</t>
  </si>
  <si>
    <t>Jan</t>
  </si>
  <si>
    <t>Feb</t>
  </si>
  <si>
    <t>Mar</t>
  </si>
  <si>
    <t>Apr</t>
  </si>
  <si>
    <t>May</t>
  </si>
  <si>
    <t>Jun</t>
  </si>
  <si>
    <t>Jul</t>
  </si>
  <si>
    <t>Aug</t>
  </si>
  <si>
    <t>Sep</t>
  </si>
  <si>
    <t>Oct</t>
  </si>
  <si>
    <t>Nov</t>
  </si>
  <si>
    <t>Dec</t>
  </si>
  <si>
    <t>Count of SLA_Status</t>
  </si>
  <si>
    <t>SLA Status</t>
  </si>
  <si>
    <t>Wind Farm KPI &amp; SLA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</si>
</sst>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h\.mm"/>
  </numFmts>
  <fonts count="5" x14ac:knownFonts="1">
    <font>
      <sz val="11"/>
      <color theme="1"/>
      <name val="Calibri"/>
      <family val="2"/>
      <scheme val="minor"/>
    </font>
    <font>
      <b/>
      <sz val="13.5"/>
      <color theme="1"/>
      <name val="Calibri"/>
      <family val="2"/>
      <scheme val="minor"/>
    </font>
    <font>
      <b/>
      <sz val="14"/>
      <color theme="1"/>
      <name val="Calibri"/>
      <family val="2"/>
      <scheme val="minor"/>
    </font>
    <font>
      <b/>
      <sz val="24"/>
      <color theme="1"/>
      <name val="Calibri"/>
      <family val="2"/>
      <scheme val="minor"/>
    </font>
    <font>
      <b/>
      <sz val="28"/>
      <color theme="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1" fillId="0" borderId="0" xfId="0" applyFont="1" applyAlignment="1">
      <alignment horizontal="center" vertical="center"/>
    </xf>
    <xf numFmtId="0" fontId="2" fillId="0" borderId="0" xfId="0" applyFont="1" applyAlignment="1">
      <alignment horizontal="center"/>
    </xf>
    <xf numFmtId="0" fontId="0" fillId="0" borderId="0" xfId="0" applyNumberFormat="1"/>
    <xf numFmtId="0" fontId="0" fillId="0" borderId="0" xfId="0" applyAlignment="1">
      <alignment horizontal="center"/>
    </xf>
    <xf numFmtId="0" fontId="3" fillId="2" borderId="0" xfId="0" applyFont="1" applyFill="1" applyAlignment="1">
      <alignment horizontal="center" vertical="top"/>
    </xf>
    <xf numFmtId="0" fontId="0" fillId="0" borderId="1" xfId="0" applyBorder="1"/>
    <xf numFmtId="164" fontId="0" fillId="0" borderId="1" xfId="0" applyNumberForma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4" fontId="0" fillId="0" borderId="8" xfId="0" applyNumberFormat="1" applyBorder="1"/>
    <xf numFmtId="0" fontId="0" fillId="0" borderId="8" xfId="0" applyBorder="1"/>
    <xf numFmtId="0" fontId="0" fillId="0" borderId="9" xfId="0" applyBorder="1"/>
    <xf numFmtId="0" fontId="4" fillId="3" borderId="0" xfId="0" applyFont="1" applyFill="1" applyAlignment="1">
      <alignment horizontal="center"/>
    </xf>
  </cellXfs>
  <cellStyles count="1">
    <cellStyle name="Normal" xfId="0" builtinId="0"/>
  </cellStyles>
  <dxfs count="23">
    <dxf>
      <border diagonalUp="0" diagonalDown="0">
        <left/>
        <right/>
        <top/>
        <bottom/>
        <vertical/>
        <horizontal/>
      </border>
    </dxf>
    <dxf>
      <numFmt numFmtId="164" formatCode="dd/mm/yyyy\ 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2" defaultTableStyle="Table Style 1" defaultPivotStyle="PivotStyleLight16">
    <tableStyle name="Slicer Style 1" pivot="0" table="0" count="1" xr9:uid="{660A8A3C-1125-42AE-B132-43012CCF4649}">
      <tableStyleElement type="wholeTable" dxfId="0"/>
    </tableStyle>
    <tableStyle name="Table Style 1" pivot="0" count="0" xr9:uid="{461B414D-E4F1-436A-92A3-766DDC838A18}"/>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[WindFarm_SLA_Dashboard.xlsx]Pivot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a:t>
            </a:r>
            <a:r>
              <a:rPr lang="en-IN"/>
              <a:t>Availability SLA by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Table'!$A$3:$A$8</c:f>
              <c:strCache>
                <c:ptCount val="5"/>
                <c:pt idx="0">
                  <c:v>Andhra Pradesh Site 1</c:v>
                </c:pt>
                <c:pt idx="1">
                  <c:v>Gujarat Coastal Farm</c:v>
                </c:pt>
                <c:pt idx="2">
                  <c:v>Maharashtra Wind Hub</c:v>
                </c:pt>
                <c:pt idx="3">
                  <c:v>Rajasthan Wind Park A</c:v>
                </c:pt>
                <c:pt idx="4">
                  <c:v>Tamil Nadu Wind Farm 1</c:v>
                </c:pt>
              </c:strCache>
            </c:strRef>
          </c:cat>
          <c:val>
            <c:numRef>
              <c:f>'Pivot Table'!$B$3:$B$8</c:f>
              <c:numCache>
                <c:formatCode>General</c:formatCode>
                <c:ptCount val="5"/>
                <c:pt idx="0">
                  <c:v>100.65249999999999</c:v>
                </c:pt>
                <c:pt idx="1">
                  <c:v>100.59083333333332</c:v>
                </c:pt>
                <c:pt idx="2">
                  <c:v>100.50750000000001</c:v>
                </c:pt>
                <c:pt idx="3">
                  <c:v>100.675</c:v>
                </c:pt>
                <c:pt idx="4">
                  <c:v>100.79083333333331</c:v>
                </c:pt>
              </c:numCache>
            </c:numRef>
          </c:val>
          <c:extLst>
            <c:ext xmlns:c16="http://schemas.microsoft.com/office/drawing/2014/chart" uri="{C3380CC4-5D6E-409C-BE32-E72D297353CC}">
              <c16:uniqueId val="{00000004-E338-497A-A98E-8F6636E68971}"/>
            </c:ext>
          </c:extLst>
        </c:ser>
        <c:dLbls>
          <c:showLegendKey val="0"/>
          <c:showVal val="0"/>
          <c:showCatName val="0"/>
          <c:showSerName val="0"/>
          <c:showPercent val="0"/>
          <c:showBubbleSize val="0"/>
        </c:dLbls>
        <c:gapWidth val="219"/>
        <c:overlap val="-27"/>
        <c:axId val="431685855"/>
        <c:axId val="431686335"/>
      </c:barChart>
      <c:catAx>
        <c:axId val="43168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86335"/>
        <c:crosses val="autoZero"/>
        <c:auto val="1"/>
        <c:lblAlgn val="ctr"/>
        <c:lblOffset val="100"/>
        <c:noMultiLvlLbl val="0"/>
      </c:catAx>
      <c:valAx>
        <c:axId val="43168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685855"/>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[WindFarm_SLA_Dashboard.xlsx]Pivot Table!PivotTable4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Production SLA by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Table'!$B$11</c:f>
              <c:strCache>
                <c:ptCount val="1"/>
                <c:pt idx="0">
                  <c:v>Total</c:v>
                </c:pt>
              </c:strCache>
            </c:strRef>
          </c:tx>
          <c:spPr>
            <a:solidFill>
              <a:schemeClr val="accent1"/>
            </a:solidFill>
            <a:ln>
              <a:noFill/>
            </a:ln>
            <a:effectLst/>
          </c:spPr>
          <c:invertIfNegative val="0"/>
          <c:cat>
            <c:strRef>
              <c:f>'Pivot Table'!$A$12:$A$17</c:f>
              <c:strCache>
                <c:ptCount val="5"/>
                <c:pt idx="0">
                  <c:v>Andhra Pradesh Site 1</c:v>
                </c:pt>
                <c:pt idx="1">
                  <c:v>Gujarat Coastal Farm</c:v>
                </c:pt>
                <c:pt idx="2">
                  <c:v>Maharashtra Wind Hub</c:v>
                </c:pt>
                <c:pt idx="3">
                  <c:v>Rajasthan Wind Park A</c:v>
                </c:pt>
                <c:pt idx="4">
                  <c:v>Tamil Nadu Wind Farm 1</c:v>
                </c:pt>
              </c:strCache>
            </c:strRef>
          </c:cat>
          <c:val>
            <c:numRef>
              <c:f>'Pivot Table'!$B$12:$B$17</c:f>
              <c:numCache>
                <c:formatCode>General</c:formatCode>
                <c:ptCount val="5"/>
                <c:pt idx="0">
                  <c:v>101.27333333333333</c:v>
                </c:pt>
                <c:pt idx="1">
                  <c:v>101.68333333333334</c:v>
                </c:pt>
                <c:pt idx="2">
                  <c:v>101.53083333333335</c:v>
                </c:pt>
                <c:pt idx="3">
                  <c:v>101.34416666666668</c:v>
                </c:pt>
                <c:pt idx="4">
                  <c:v>100.95833333333333</c:v>
                </c:pt>
              </c:numCache>
            </c:numRef>
          </c:val>
          <c:extLst>
            <c:ext xmlns:c16="http://schemas.microsoft.com/office/drawing/2014/chart" uri="{C3380CC4-5D6E-409C-BE32-E72D297353CC}">
              <c16:uniqueId val="{00000000-D66A-4D76-A8A6-FC3264A51BAD}"/>
            </c:ext>
          </c:extLst>
        </c:ser>
        <c:dLbls>
          <c:showLegendKey val="0"/>
          <c:showVal val="0"/>
          <c:showCatName val="0"/>
          <c:showSerName val="0"/>
          <c:showPercent val="0"/>
          <c:showBubbleSize val="0"/>
        </c:dLbls>
        <c:gapWidth val="219"/>
        <c:overlap val="-27"/>
        <c:axId val="520968335"/>
        <c:axId val="520967375"/>
      </c:barChart>
      <c:catAx>
        <c:axId val="520968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7375"/>
        <c:crosses val="autoZero"/>
        <c:auto val="1"/>
        <c:lblAlgn val="ctr"/>
        <c:lblOffset val="100"/>
        <c:noMultiLvlLbl val="0"/>
      </c:catAx>
      <c:valAx>
        <c:axId val="52096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68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[WindFarm_SLA_Dashboard.xlsx]Pivot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SLA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c:f>
              <c:strCache>
                <c:ptCount val="1"/>
                <c:pt idx="0">
                  <c:v>Average of Availability_SLA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Table'!$E$3:$E$15</c:f>
              <c:numCache>
                <c:formatCode>General</c:formatCode>
                <c:ptCount val="12"/>
                <c:pt idx="0">
                  <c:v>101.16</c:v>
                </c:pt>
                <c:pt idx="1">
                  <c:v>100.33199999999999</c:v>
                </c:pt>
                <c:pt idx="2">
                  <c:v>101.69800000000001</c:v>
                </c:pt>
                <c:pt idx="3">
                  <c:v>99.957999999999998</c:v>
                </c:pt>
                <c:pt idx="4">
                  <c:v>98.058000000000007</c:v>
                </c:pt>
                <c:pt idx="5">
                  <c:v>101.24000000000001</c:v>
                </c:pt>
                <c:pt idx="6">
                  <c:v>102.08799999999999</c:v>
                </c:pt>
                <c:pt idx="7">
                  <c:v>101.696</c:v>
                </c:pt>
                <c:pt idx="8">
                  <c:v>100.86800000000001</c:v>
                </c:pt>
                <c:pt idx="9">
                  <c:v>100.18600000000001</c:v>
                </c:pt>
                <c:pt idx="10">
                  <c:v>99.608000000000004</c:v>
                </c:pt>
                <c:pt idx="11">
                  <c:v>100.828</c:v>
                </c:pt>
              </c:numCache>
            </c:numRef>
          </c:val>
          <c:smooth val="0"/>
          <c:extLst>
            <c:ext xmlns:c16="http://schemas.microsoft.com/office/drawing/2014/chart" uri="{C3380CC4-5D6E-409C-BE32-E72D297353CC}">
              <c16:uniqueId val="{00000000-EC2F-4380-8367-94CCB11F3117}"/>
            </c:ext>
          </c:extLst>
        </c:ser>
        <c:ser>
          <c:idx val="1"/>
          <c:order val="1"/>
          <c:tx>
            <c:strRef>
              <c:f>'Pivot Table'!$F$2</c:f>
              <c:strCache>
                <c:ptCount val="1"/>
                <c:pt idx="0">
                  <c:v>Average of Production_SLA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Table'!$D$3:$D$15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Table'!$F$3:$F$15</c:f>
              <c:numCache>
                <c:formatCode>General</c:formatCode>
                <c:ptCount val="12"/>
                <c:pt idx="0">
                  <c:v>101.768</c:v>
                </c:pt>
                <c:pt idx="1">
                  <c:v>97.345999999999989</c:v>
                </c:pt>
                <c:pt idx="2">
                  <c:v>103.48800000000001</c:v>
                </c:pt>
                <c:pt idx="3">
                  <c:v>98.665999999999983</c:v>
                </c:pt>
                <c:pt idx="4">
                  <c:v>94.828000000000003</c:v>
                </c:pt>
                <c:pt idx="5">
                  <c:v>105.53000000000002</c:v>
                </c:pt>
                <c:pt idx="6">
                  <c:v>109.08400000000002</c:v>
                </c:pt>
                <c:pt idx="7">
                  <c:v>107.80199999999999</c:v>
                </c:pt>
                <c:pt idx="8">
                  <c:v>102.944</c:v>
                </c:pt>
                <c:pt idx="9">
                  <c:v>98.352000000000004</c:v>
                </c:pt>
                <c:pt idx="10">
                  <c:v>96.003999999999991</c:v>
                </c:pt>
                <c:pt idx="11">
                  <c:v>100.48399999999999</c:v>
                </c:pt>
              </c:numCache>
            </c:numRef>
          </c:val>
          <c:smooth val="0"/>
          <c:extLst>
            <c:ext xmlns:c16="http://schemas.microsoft.com/office/drawing/2014/chart" uri="{C3380CC4-5D6E-409C-BE32-E72D297353CC}">
              <c16:uniqueId val="{00000001-EC2F-4380-8367-94CCB11F3117}"/>
            </c:ext>
          </c:extLst>
        </c:ser>
        <c:dLbls>
          <c:showLegendKey val="0"/>
          <c:showVal val="0"/>
          <c:showCatName val="0"/>
          <c:showSerName val="0"/>
          <c:showPercent val="0"/>
          <c:showBubbleSize val="0"/>
        </c:dLbls>
        <c:marker val="1"/>
        <c:smooth val="0"/>
        <c:axId val="535518399"/>
        <c:axId val="535519359"/>
      </c:lineChart>
      <c:catAx>
        <c:axId val="53551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19359"/>
        <c:crosses val="autoZero"/>
        <c:auto val="1"/>
        <c:lblAlgn val="ctr"/>
        <c:lblOffset val="100"/>
        <c:noMultiLvlLbl val="0"/>
      </c:catAx>
      <c:valAx>
        <c:axId val="53551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5183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[WindFarm_SLA_Dashboard.xlsx]Pivot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 SLA By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strRef>
              <c:f>'Pivot Table'!$A$23:$A$28</c:f>
              <c:strCache>
                <c:ptCount val="5"/>
                <c:pt idx="0">
                  <c:v>Andhra Pradesh Site 1</c:v>
                </c:pt>
                <c:pt idx="1">
                  <c:v>Gujarat Coastal Farm</c:v>
                </c:pt>
                <c:pt idx="2">
                  <c:v>Maharashtra Wind Hub</c:v>
                </c:pt>
                <c:pt idx="3">
                  <c:v>Rajasthan Wind Park A</c:v>
                </c:pt>
                <c:pt idx="4">
                  <c:v>Tamil Nadu Wind Farm 1</c:v>
                </c:pt>
              </c:strCache>
            </c:strRef>
          </c:cat>
          <c:val>
            <c:numRef>
              <c:f>'Pivot Table'!$B$23:$B$28</c:f>
              <c:numCache>
                <c:formatCode>General</c:formatCode>
                <c:ptCount val="5"/>
                <c:pt idx="0">
                  <c:v>11</c:v>
                </c:pt>
                <c:pt idx="1">
                  <c:v>12</c:v>
                </c:pt>
                <c:pt idx="2">
                  <c:v>11</c:v>
                </c:pt>
                <c:pt idx="3">
                  <c:v>12</c:v>
                </c:pt>
                <c:pt idx="4">
                  <c:v>11</c:v>
                </c:pt>
              </c:numCache>
            </c:numRef>
          </c:val>
          <c:extLst>
            <c:ext xmlns:c16="http://schemas.microsoft.com/office/drawing/2014/chart" uri="{C3380CC4-5D6E-409C-BE32-E72D297353CC}">
              <c16:uniqueId val="{00000000-169E-4DC1-8E09-9362427E605F}"/>
            </c:ext>
          </c:extLst>
        </c:ser>
        <c:dLbls>
          <c:showLegendKey val="0"/>
          <c:showVal val="0"/>
          <c:showCatName val="0"/>
          <c:showSerName val="0"/>
          <c:showPercent val="0"/>
          <c:showBubbleSize val="0"/>
        </c:dLbls>
        <c:gapWidth val="219"/>
        <c:overlap val="-27"/>
        <c:axId val="679900239"/>
        <c:axId val="679901199"/>
      </c:barChart>
      <c:catAx>
        <c:axId val="67990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01199"/>
        <c:crosses val="autoZero"/>
        <c:auto val="1"/>
        <c:lblAlgn val="ctr"/>
        <c:lblOffset val="100"/>
        <c:noMultiLvlLbl val="0"/>
      </c:catAx>
      <c:valAx>
        <c:axId val="67990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90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68580</xdr:rowOff>
    </xdr:from>
    <xdr:to>
      <xdr:col>3</xdr:col>
      <xdr:colOff>0</xdr:colOff>
      <xdr:row>5</xdr:row>
      <xdr:rowOff>15240</xdr:rowOff>
    </xdr:to>
    <xdr:sp macro="" textlink="">
      <xdr:nvSpPr>
        <xdr:cNvPr id="2" name="TextBox 1">
          <a:extLst>
            <a:ext uri="{FF2B5EF4-FFF2-40B4-BE49-F238E27FC236}">
              <a16:creationId xmlns:a16="http://schemas.microsoft.com/office/drawing/2014/main" id="{5284D8E0-3564-B1AE-6592-F88ABCD343E7}"/>
            </a:ext>
          </a:extLst>
        </xdr:cNvPr>
        <xdr:cNvSpPr txBox="1"/>
      </xdr:nvSpPr>
      <xdr:spPr>
        <a:xfrm>
          <a:off x="0" y="434340"/>
          <a:ext cx="1828800" cy="31242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Average Availability SLA</a:t>
          </a:r>
        </a:p>
      </xdr:txBody>
    </xdr:sp>
    <xdr:clientData/>
  </xdr:twoCellAnchor>
  <xdr:twoCellAnchor>
    <xdr:from>
      <xdr:col>3</xdr:col>
      <xdr:colOff>0</xdr:colOff>
      <xdr:row>3</xdr:row>
      <xdr:rowOff>68580</xdr:rowOff>
    </xdr:from>
    <xdr:to>
      <xdr:col>6</xdr:col>
      <xdr:colOff>0</xdr:colOff>
      <xdr:row>5</xdr:row>
      <xdr:rowOff>15240</xdr:rowOff>
    </xdr:to>
    <xdr:sp macro="" textlink="">
      <xdr:nvSpPr>
        <xdr:cNvPr id="3" name="TextBox 2">
          <a:extLst>
            <a:ext uri="{FF2B5EF4-FFF2-40B4-BE49-F238E27FC236}">
              <a16:creationId xmlns:a16="http://schemas.microsoft.com/office/drawing/2014/main" id="{F0976291-4F39-476F-BB33-94BC0FAB0F64}"/>
            </a:ext>
          </a:extLst>
        </xdr:cNvPr>
        <xdr:cNvSpPr txBox="1"/>
      </xdr:nvSpPr>
      <xdr:spPr>
        <a:xfrm>
          <a:off x="0" y="429096"/>
          <a:ext cx="1818968" cy="30717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Average Production SLA</a:t>
          </a:r>
        </a:p>
      </xdr:txBody>
    </xdr:sp>
    <xdr:clientData/>
  </xdr:twoCellAnchor>
  <xdr:twoCellAnchor>
    <xdr:from>
      <xdr:col>6</xdr:col>
      <xdr:colOff>0</xdr:colOff>
      <xdr:row>3</xdr:row>
      <xdr:rowOff>68580</xdr:rowOff>
    </xdr:from>
    <xdr:to>
      <xdr:col>9</xdr:col>
      <xdr:colOff>0</xdr:colOff>
      <xdr:row>5</xdr:row>
      <xdr:rowOff>15240</xdr:rowOff>
    </xdr:to>
    <xdr:sp macro="" textlink="">
      <xdr:nvSpPr>
        <xdr:cNvPr id="4" name="TextBox 3">
          <a:extLst>
            <a:ext uri="{FF2B5EF4-FFF2-40B4-BE49-F238E27FC236}">
              <a16:creationId xmlns:a16="http://schemas.microsoft.com/office/drawing/2014/main" id="{A101D8CA-0EF2-403E-92B9-2F0DCCBFE7C1}"/>
            </a:ext>
          </a:extLst>
        </xdr:cNvPr>
        <xdr:cNvSpPr txBox="1"/>
      </xdr:nvSpPr>
      <xdr:spPr>
        <a:xfrm>
          <a:off x="0" y="429096"/>
          <a:ext cx="1818968" cy="30717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Sites Meeting SLA</a:t>
          </a:r>
        </a:p>
      </xdr:txBody>
    </xdr:sp>
    <xdr:clientData/>
  </xdr:twoCellAnchor>
  <xdr:twoCellAnchor>
    <xdr:from>
      <xdr:col>9</xdr:col>
      <xdr:colOff>0</xdr:colOff>
      <xdr:row>3</xdr:row>
      <xdr:rowOff>68580</xdr:rowOff>
    </xdr:from>
    <xdr:to>
      <xdr:col>12</xdr:col>
      <xdr:colOff>0</xdr:colOff>
      <xdr:row>5</xdr:row>
      <xdr:rowOff>15240</xdr:rowOff>
    </xdr:to>
    <xdr:sp macro="" textlink="">
      <xdr:nvSpPr>
        <xdr:cNvPr id="5" name="TextBox 4">
          <a:extLst>
            <a:ext uri="{FF2B5EF4-FFF2-40B4-BE49-F238E27FC236}">
              <a16:creationId xmlns:a16="http://schemas.microsoft.com/office/drawing/2014/main" id="{BBC08845-BC6F-4953-BEF3-D4623E97DDED}"/>
            </a:ext>
          </a:extLst>
        </xdr:cNvPr>
        <xdr:cNvSpPr txBox="1"/>
      </xdr:nvSpPr>
      <xdr:spPr>
        <a:xfrm>
          <a:off x="3637935" y="429096"/>
          <a:ext cx="1818968" cy="30717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rPr>
            <a:t>Sites Breaching SLA</a:t>
          </a:r>
        </a:p>
      </xdr:txBody>
    </xdr:sp>
    <xdr:clientData/>
  </xdr:twoCellAnchor>
  <xdr:twoCellAnchor>
    <xdr:from>
      <xdr:col>0</xdr:col>
      <xdr:colOff>5773</xdr:colOff>
      <xdr:row>5</xdr:row>
      <xdr:rowOff>11587</xdr:rowOff>
    </xdr:from>
    <xdr:to>
      <xdr:col>5</xdr:col>
      <xdr:colOff>1206366</xdr:colOff>
      <xdr:row>18</xdr:row>
      <xdr:rowOff>7988</xdr:rowOff>
    </xdr:to>
    <xdr:graphicFrame macro="">
      <xdr:nvGraphicFramePr>
        <xdr:cNvPr id="6" name="Chart 5">
          <a:extLst>
            <a:ext uri="{FF2B5EF4-FFF2-40B4-BE49-F238E27FC236}">
              <a16:creationId xmlns:a16="http://schemas.microsoft.com/office/drawing/2014/main" id="{967D23F2-A069-4DF2-889F-41133A6A8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1204574</xdr:colOff>
      <xdr:row>5</xdr:row>
      <xdr:rowOff>11546</xdr:rowOff>
    </xdr:from>
    <xdr:to>
      <xdr:col>11</xdr:col>
      <xdr:colOff>1208688</xdr:colOff>
      <xdr:row>18</xdr:row>
      <xdr:rowOff>11546</xdr:rowOff>
    </xdr:to>
    <xdr:graphicFrame macro="">
      <xdr:nvGraphicFramePr>
        <xdr:cNvPr id="8" name="Chart 7">
          <a:extLst>
            <a:ext uri="{FF2B5EF4-FFF2-40B4-BE49-F238E27FC236}">
              <a16:creationId xmlns:a16="http://schemas.microsoft.com/office/drawing/2014/main" id="{F45E56B6-BDF1-4588-A6E4-A6CF4FF3E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6</xdr:col>
      <xdr:colOff>5080</xdr:colOff>
      <xdr:row>33</xdr:row>
      <xdr:rowOff>0</xdr:rowOff>
    </xdr:to>
    <xdr:graphicFrame macro="">
      <xdr:nvGraphicFramePr>
        <xdr:cNvPr id="9" name="Chart 8">
          <a:extLst>
            <a:ext uri="{FF2B5EF4-FFF2-40B4-BE49-F238E27FC236}">
              <a16:creationId xmlns:a16="http://schemas.microsoft.com/office/drawing/2014/main" id="{8611DDC3-629B-4C38-81A2-8FA29231B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1214033</xdr:colOff>
      <xdr:row>18</xdr:row>
      <xdr:rowOff>0</xdr:rowOff>
    </xdr:from>
    <xdr:to>
      <xdr:col>11</xdr:col>
      <xdr:colOff>1214033</xdr:colOff>
      <xdr:row>33</xdr:row>
      <xdr:rowOff>0</xdr:rowOff>
    </xdr:to>
    <xdr:graphicFrame macro="">
      <xdr:nvGraphicFramePr>
        <xdr:cNvPr id="10" name="Chart 9">
          <a:extLst>
            <a:ext uri="{FF2B5EF4-FFF2-40B4-BE49-F238E27FC236}">
              <a16:creationId xmlns:a16="http://schemas.microsoft.com/office/drawing/2014/main" id="{17868192-1954-45F8-B069-1799765A9D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0</xdr:colOff>
      <xdr:row>1</xdr:row>
      <xdr:rowOff>0</xdr:rowOff>
    </xdr:from>
    <xdr:to>
      <xdr:col>14</xdr:col>
      <xdr:colOff>599768</xdr:colOff>
      <xdr:row>20</xdr:row>
      <xdr:rowOff>123825</xdr:rowOff>
    </xdr:to>
    <mc:AlternateContent xmlns:mc="http://schemas.openxmlformats.org/markup-compatibility/2006">
      <mc:Choice xmlns:a14="http://schemas.microsoft.com/office/drawing/2010/main" Requires="a14">
        <xdr:graphicFrame macro="">
          <xdr:nvGraphicFramePr>
            <xdr:cNvPr id="12" name="Months (Month) 1">
              <a:extLst>
                <a:ext uri="{FF2B5EF4-FFF2-40B4-BE49-F238E27FC236}">
                  <a16:creationId xmlns:a16="http://schemas.microsoft.com/office/drawing/2014/main" id="{3A89CEFD-2881-4F51-9599-D38F06C73BD5}"/>
                </a:ext>
              </a:extLst>
            </xdr:cNvPr>
            <xdr:cNvGraphicFramePr/>
          </xdr:nvGraphicFramePr>
          <xdr:xfrm>
            <a:off x="0" y="0"/>
            <a:ext cx="0" cy="0"/>
          </xdr:xfrm>
          <a:graphic>
            <a:graphicData uri="http://schemas.microsoft.com/office/drawing/2010/slicer">
              <sle:slicer xmlns:sle="http://schemas.microsoft.com/office/drawing/2010/slicer" name="Months (Month) 1"/>
            </a:graphicData>
          </a:graphic>
        </xdr:graphicFrame>
      </mc:Choice>
      <mc:Fallback>
        <xdr:sp macro="" textlink="">
          <xdr:nvSpPr>
            <xdr:cNvPr id="0" name=""/>
            <xdr:cNvSpPr>
              <a:spLocks noTextEdit="1"/>
            </xdr:cNvSpPr>
          </xdr:nvSpPr>
          <xdr:spPr>
            <a:xfrm>
              <a:off x="9772650" y="466725"/>
              <a:ext cx="1818968" cy="356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15688</xdr:colOff>
      <xdr:row>0</xdr:row>
      <xdr:rowOff>229944</xdr:rowOff>
    </xdr:from>
    <xdr:to>
      <xdr:col>9</xdr:col>
      <xdr:colOff>15688</xdr:colOff>
      <xdr:row>15</xdr:row>
      <xdr:rowOff>8965</xdr:rowOff>
    </xdr:to>
    <mc:AlternateContent xmlns:mc="http://schemas.openxmlformats.org/markup-compatibility/2006">
      <mc:Choice xmlns:a14="http://schemas.microsoft.com/office/drawing/2010/main" Requires="a14">
        <xdr:graphicFrame macro="">
          <xdr:nvGraphicFramePr>
            <xdr:cNvPr id="8" name="Months (Month)">
              <a:extLst>
                <a:ext uri="{FF2B5EF4-FFF2-40B4-BE49-F238E27FC236}">
                  <a16:creationId xmlns:a16="http://schemas.microsoft.com/office/drawing/2014/main" id="{DA761DD3-2BDF-E3A6-8CA5-2FBD7C67206B}"/>
                </a:ext>
              </a:extLst>
            </xdr:cNvPr>
            <xdr:cNvGraphicFramePr/>
          </xdr:nvGraphicFramePr>
          <xdr:xfrm>
            <a:off x="0" y="0"/>
            <a:ext cx="0" cy="0"/>
          </xdr:xfrm>
          <a:graphic>
            <a:graphicData uri="http://schemas.microsoft.com/office/drawing/2010/slicer">
              <sle:slicer xmlns:sle="http://schemas.microsoft.com/office/drawing/2010/slicer" name="Months (Month)"/>
            </a:graphicData>
          </a:graphic>
        </xdr:graphicFrame>
      </mc:Choice>
      <mc:Fallback>
        <xdr:sp macro="" textlink="">
          <xdr:nvSpPr>
            <xdr:cNvPr id="0" name=""/>
            <xdr:cNvSpPr>
              <a:spLocks noTextEdit="1"/>
            </xdr:cNvSpPr>
          </xdr:nvSpPr>
          <xdr:spPr>
            <a:xfrm>
              <a:off x="7971623" y="229944"/>
              <a:ext cx="1818968" cy="2581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i Hari Nataraj S" refreshedDate="46176.486788541668" createdVersion="8" refreshedVersion="8" minRefreshableVersion="3" recordCount="60" xr:uid="{B31073A2-2772-409F-9FD3-9C8741BFE6DD}">
  <cacheSource type="worksheet">
    <worksheetSource name="qry_SLA_Performance"/>
  </cacheSource>
  <cacheFields count="11">
    <cacheField name="SiteName" numFmtId="0">
      <sharedItems count="5">
        <s v="Tamil Nadu Wind Farm 1"/>
        <s v="Rajasthan Wind Park A"/>
        <s v="Gujarat Coastal Farm"/>
        <s v="Andhra Pradesh Site 1"/>
        <s v="Maharashtra Wind Hub"/>
      </sharedItems>
    </cacheField>
    <cacheField name="Month" numFmtId="164">
      <sharedItems containsSemiMixedTypes="0" containsNonDate="0" containsDate="1" containsString="0" minDate="2025-01-01T00:00:00" maxDate="2025-12-02T00:00:00" count="12">
        <d v="2025-01-01T00:00:00"/>
        <d v="2025-02-01T00:00:00"/>
        <d v="2025-03-01T00:00:00"/>
        <d v="2025-04-01T00:00:00"/>
        <d v="2025-05-01T00:00:00"/>
        <d v="2025-06-01T00:00:00"/>
        <d v="2025-07-01T00:00:00"/>
        <d v="2025-08-01T00:00:00"/>
        <d v="2025-09-01T00:00:00"/>
        <d v="2025-10-01T00:00:00"/>
        <d v="2025-11-01T00:00:00"/>
        <d v="2025-12-01T00:00:00"/>
      </sharedItems>
      <fieldGroup par="10"/>
    </cacheField>
    <cacheField name="ContractedAvailability_pct" numFmtId="0">
      <sharedItems containsSemiMixedTypes="0" containsString="0" containsNumber="1" minValue="96" maxValue="97.5"/>
    </cacheField>
    <cacheField name="ActualAvailability_pct" numFmtId="0">
      <sharedItems containsSemiMixedTypes="0" containsString="0" containsNumber="1" minValue="93.5" maxValue="99.3"/>
    </cacheField>
    <cacheField name="ContractedProduction_MWh" numFmtId="0">
      <sharedItems containsSemiMixedTypes="0" containsString="0" containsNumber="1" containsInteger="1" minValue="3600" maxValue="6200"/>
    </cacheField>
    <cacheField name="ActualProduction_MWh" numFmtId="0">
      <sharedItems containsSemiMixedTypes="0" containsString="0" containsNumber="1" containsInteger="1" minValue="3400" maxValue="6700"/>
    </cacheField>
    <cacheField name="Availability_SLA" numFmtId="0">
      <sharedItems containsSemiMixedTypes="0" containsString="0" containsNumber="1" minValue="97.4" maxValue="102.29"/>
    </cacheField>
    <cacheField name="Production_SLA" numFmtId="0">
      <sharedItems containsSemiMixedTypes="0" containsString="0" containsNumber="1" minValue="94.44" maxValue="109.8"/>
    </cacheField>
    <cacheField name="SLA_Status" numFmtId="0">
      <sharedItems count="2">
        <s v="Met SLA"/>
        <s v="Breach"/>
      </sharedItems>
    </cacheField>
    <cacheField name="Days (Month)" numFmtId="0" databaseField="0">
      <fieldGroup base="1">
        <rangePr groupBy="days" startDate="2025-01-01T00:00:00" endDate="2025-12-02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5"/>
        </groupItems>
      </fieldGroup>
    </cacheField>
    <cacheField name="Months (Month)" numFmtId="0" databaseField="0">
      <fieldGroup base="1">
        <rangePr groupBy="months" startDate="2025-01-01T00:00:00" endDate="2025-12-02T00:00:00"/>
        <groupItems count="14">
          <s v="&lt;01-01-2025"/>
          <s v="Jan"/>
          <s v="Feb"/>
          <s v="Mar"/>
          <s v="Apr"/>
          <s v="May"/>
          <s v="Jun"/>
          <s v="Jul"/>
          <s v="Aug"/>
          <s v="Sep"/>
          <s v="Oct"/>
          <s v="Nov"/>
          <s v="Dec"/>
          <s v="&gt;02-12-2025"/>
        </groupItems>
      </fieldGroup>
    </cacheField>
  </cacheFields>
  <extLst>
    <ext xmlns:x14="http://schemas.microsoft.com/office/spreadsheetml/2009/9/main" uri="{725AE2AE-9491-48be-B2B4-4EB974FC3084}">
      <x14:pivotCacheDefinition pivotCacheId="1901526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97"/>
    <n v="98.2"/>
    <n v="4000"/>
    <n v="4050"/>
    <n v="101.24"/>
    <n v="101.25"/>
    <x v="0"/>
  </r>
  <r>
    <x v="0"/>
    <x v="1"/>
    <n v="97"/>
    <n v="97.5"/>
    <n v="4000"/>
    <n v="3870"/>
    <n v="100.52"/>
    <n v="96.75"/>
    <x v="0"/>
  </r>
  <r>
    <x v="0"/>
    <x v="2"/>
    <n v="97"/>
    <n v="98.8"/>
    <n v="4000"/>
    <n v="4120"/>
    <n v="101.86"/>
    <n v="103"/>
    <x v="0"/>
  </r>
  <r>
    <x v="0"/>
    <x v="3"/>
    <n v="97"/>
    <n v="97.1"/>
    <n v="4000"/>
    <n v="3950"/>
    <n v="100.1"/>
    <n v="98.75"/>
    <x v="0"/>
  </r>
  <r>
    <x v="0"/>
    <x v="4"/>
    <n v="97"/>
    <n v="95.3"/>
    <n v="4000"/>
    <n v="3780"/>
    <n v="98.25"/>
    <n v="94.5"/>
    <x v="1"/>
  </r>
  <r>
    <x v="0"/>
    <x v="5"/>
    <n v="97"/>
    <n v="98.5"/>
    <n v="4000"/>
    <n v="4200"/>
    <n v="101.55"/>
    <n v="105"/>
    <x v="0"/>
  </r>
  <r>
    <x v="0"/>
    <x v="6"/>
    <n v="97"/>
    <n v="99.1"/>
    <n v="4000"/>
    <n v="4350"/>
    <n v="102.16"/>
    <n v="108.75"/>
    <x v="0"/>
  </r>
  <r>
    <x v="0"/>
    <x v="7"/>
    <n v="97"/>
    <n v="98.7"/>
    <n v="4000"/>
    <n v="4280"/>
    <n v="101.75"/>
    <n v="107"/>
    <x v="0"/>
  </r>
  <r>
    <x v="0"/>
    <x v="8"/>
    <n v="97"/>
    <n v="97.9"/>
    <n v="4000"/>
    <n v="4100"/>
    <n v="100.93"/>
    <n v="102.5"/>
    <x v="0"/>
  </r>
  <r>
    <x v="0"/>
    <x v="9"/>
    <n v="97"/>
    <n v="97.3"/>
    <n v="4000"/>
    <n v="3920"/>
    <n v="100.31"/>
    <n v="98"/>
    <x v="0"/>
  </r>
  <r>
    <x v="0"/>
    <x v="10"/>
    <n v="97"/>
    <n v="96.8"/>
    <n v="4000"/>
    <n v="3830"/>
    <n v="99.79"/>
    <n v="95.75"/>
    <x v="0"/>
  </r>
  <r>
    <x v="0"/>
    <x v="11"/>
    <n v="97"/>
    <n v="98"/>
    <n v="4000"/>
    <n v="4010"/>
    <n v="101.03"/>
    <n v="100.25"/>
    <x v="0"/>
  </r>
  <r>
    <x v="1"/>
    <x v="0"/>
    <n v="96.5"/>
    <n v="97.8"/>
    <n v="6200"/>
    <n v="6350"/>
    <n v="101.35"/>
    <n v="102.42"/>
    <x v="0"/>
  </r>
  <r>
    <x v="1"/>
    <x v="1"/>
    <n v="96.5"/>
    <n v="96.9"/>
    <n v="6200"/>
    <n v="6100"/>
    <n v="100.41"/>
    <n v="98.39"/>
    <x v="0"/>
  </r>
  <r>
    <x v="1"/>
    <x v="2"/>
    <n v="96.5"/>
    <n v="98.1"/>
    <n v="6200"/>
    <n v="6420"/>
    <n v="101.66"/>
    <n v="103.55"/>
    <x v="0"/>
  </r>
  <r>
    <x v="1"/>
    <x v="3"/>
    <n v="96.5"/>
    <n v="96.5"/>
    <n v="6200"/>
    <n v="6050"/>
    <n v="100"/>
    <n v="97.58"/>
    <x v="0"/>
  </r>
  <r>
    <x v="1"/>
    <x v="4"/>
    <n v="96.5"/>
    <n v="94.8"/>
    <n v="6200"/>
    <n v="5900"/>
    <n v="98.24"/>
    <n v="95.16"/>
    <x v="0"/>
  </r>
  <r>
    <x v="1"/>
    <x v="5"/>
    <n v="96.5"/>
    <n v="97.5"/>
    <n v="6200"/>
    <n v="6500"/>
    <n v="101.04"/>
    <n v="104.84"/>
    <x v="0"/>
  </r>
  <r>
    <x v="1"/>
    <x v="6"/>
    <n v="96.5"/>
    <n v="98.6"/>
    <n v="6200"/>
    <n v="6700"/>
    <n v="102.18"/>
    <n v="108.06"/>
    <x v="0"/>
  </r>
  <r>
    <x v="1"/>
    <x v="7"/>
    <n v="96.5"/>
    <n v="98.2"/>
    <n v="6200"/>
    <n v="6650"/>
    <n v="101.76"/>
    <n v="107.26"/>
    <x v="0"/>
  </r>
  <r>
    <x v="1"/>
    <x v="8"/>
    <n v="96.5"/>
    <n v="97.4"/>
    <n v="6200"/>
    <n v="6400"/>
    <n v="100.93"/>
    <n v="103.23"/>
    <x v="0"/>
  </r>
  <r>
    <x v="1"/>
    <x v="9"/>
    <n v="96.5"/>
    <n v="96.7"/>
    <n v="6200"/>
    <n v="6150"/>
    <n v="100.21"/>
    <n v="99.19"/>
    <x v="0"/>
  </r>
  <r>
    <x v="1"/>
    <x v="10"/>
    <n v="96.5"/>
    <n v="96.1"/>
    <n v="6200"/>
    <n v="5980"/>
    <n v="99.59"/>
    <n v="96.45"/>
    <x v="0"/>
  </r>
  <r>
    <x v="1"/>
    <x v="11"/>
    <n v="96.5"/>
    <n v="97.2"/>
    <n v="6200"/>
    <n v="6200"/>
    <n v="100.73"/>
    <n v="100"/>
    <x v="0"/>
  </r>
  <r>
    <x v="2"/>
    <x v="0"/>
    <n v="97.5"/>
    <n v="98.5"/>
    <n v="5100"/>
    <n v="5200"/>
    <n v="101.03"/>
    <n v="101.96"/>
    <x v="0"/>
  </r>
  <r>
    <x v="2"/>
    <x v="1"/>
    <n v="97.5"/>
    <n v="97.8"/>
    <n v="5100"/>
    <n v="4980"/>
    <n v="100.31"/>
    <n v="97.65"/>
    <x v="0"/>
  </r>
  <r>
    <x v="2"/>
    <x v="2"/>
    <n v="97.5"/>
    <n v="99"/>
    <n v="5100"/>
    <n v="5300"/>
    <n v="101.54"/>
    <n v="103.92"/>
    <x v="0"/>
  </r>
  <r>
    <x v="2"/>
    <x v="3"/>
    <n v="97.5"/>
    <n v="97.4"/>
    <n v="5100"/>
    <n v="5050"/>
    <n v="99.9"/>
    <n v="99.02"/>
    <x v="0"/>
  </r>
  <r>
    <x v="2"/>
    <x v="4"/>
    <n v="97.5"/>
    <n v="95.9"/>
    <n v="5100"/>
    <n v="4870"/>
    <n v="98.36"/>
    <n v="95.49"/>
    <x v="0"/>
  </r>
  <r>
    <x v="2"/>
    <x v="5"/>
    <n v="97.5"/>
    <n v="98.8"/>
    <n v="5100"/>
    <n v="5400"/>
    <n v="101.33"/>
    <n v="105.88"/>
    <x v="0"/>
  </r>
  <r>
    <x v="2"/>
    <x v="6"/>
    <n v="97.5"/>
    <n v="99.3"/>
    <n v="5100"/>
    <n v="5600"/>
    <n v="101.85"/>
    <n v="109.8"/>
    <x v="0"/>
  </r>
  <r>
    <x v="2"/>
    <x v="7"/>
    <n v="97.5"/>
    <n v="99"/>
    <n v="5100"/>
    <n v="5520"/>
    <n v="101.54"/>
    <n v="108.24"/>
    <x v="0"/>
  </r>
  <r>
    <x v="2"/>
    <x v="8"/>
    <n v="97.5"/>
    <n v="98.2"/>
    <n v="5100"/>
    <n v="5250"/>
    <n v="100.72"/>
    <n v="102.94"/>
    <x v="0"/>
  </r>
  <r>
    <x v="2"/>
    <x v="9"/>
    <n v="97.5"/>
    <n v="97.6"/>
    <n v="5100"/>
    <n v="5010"/>
    <n v="100.1"/>
    <n v="98.24"/>
    <x v="0"/>
  </r>
  <r>
    <x v="2"/>
    <x v="10"/>
    <n v="97.5"/>
    <n v="97.1"/>
    <n v="5100"/>
    <n v="4900"/>
    <n v="99.59"/>
    <n v="96.08"/>
    <x v="0"/>
  </r>
  <r>
    <x v="2"/>
    <x v="11"/>
    <n v="97.5"/>
    <n v="98.3"/>
    <n v="5100"/>
    <n v="5150"/>
    <n v="100.82"/>
    <n v="100.98"/>
    <x v="0"/>
  </r>
  <r>
    <x v="3"/>
    <x v="0"/>
    <n v="96"/>
    <n v="97.1"/>
    <n v="3600"/>
    <n v="3650"/>
    <n v="101.15"/>
    <n v="101.39"/>
    <x v="0"/>
  </r>
  <r>
    <x v="3"/>
    <x v="1"/>
    <n v="96"/>
    <n v="96.2"/>
    <n v="3600"/>
    <n v="3480"/>
    <n v="100.21"/>
    <n v="96.67"/>
    <x v="0"/>
  </r>
  <r>
    <x v="3"/>
    <x v="2"/>
    <n v="96"/>
    <n v="97.8"/>
    <n v="3600"/>
    <n v="3720"/>
    <n v="101.88"/>
    <n v="103.33"/>
    <x v="0"/>
  </r>
  <r>
    <x v="3"/>
    <x v="3"/>
    <n v="96"/>
    <n v="96"/>
    <n v="3600"/>
    <n v="3560"/>
    <n v="100"/>
    <n v="98.89"/>
    <x v="0"/>
  </r>
  <r>
    <x v="3"/>
    <x v="4"/>
    <n v="96"/>
    <n v="93.5"/>
    <n v="3600"/>
    <n v="3400"/>
    <n v="97.4"/>
    <n v="94.44"/>
    <x v="1"/>
  </r>
  <r>
    <x v="3"/>
    <x v="5"/>
    <n v="96"/>
    <n v="97"/>
    <n v="3600"/>
    <n v="3820"/>
    <n v="101.04"/>
    <n v="106.11"/>
    <x v="0"/>
  </r>
  <r>
    <x v="3"/>
    <x v="6"/>
    <n v="96"/>
    <n v="98.2"/>
    <n v="3600"/>
    <n v="3950"/>
    <n v="102.29"/>
    <n v="109.72"/>
    <x v="0"/>
  </r>
  <r>
    <x v="3"/>
    <x v="7"/>
    <n v="96"/>
    <n v="97.8"/>
    <n v="3600"/>
    <n v="3900"/>
    <n v="101.88"/>
    <n v="108.33"/>
    <x v="0"/>
  </r>
  <r>
    <x v="3"/>
    <x v="8"/>
    <n v="96"/>
    <n v="97"/>
    <n v="3600"/>
    <n v="3700"/>
    <n v="101.04"/>
    <n v="102.78"/>
    <x v="0"/>
  </r>
  <r>
    <x v="3"/>
    <x v="9"/>
    <n v="96"/>
    <n v="96.3"/>
    <n v="3600"/>
    <n v="3520"/>
    <n v="100.31"/>
    <n v="97.78"/>
    <x v="0"/>
  </r>
  <r>
    <x v="3"/>
    <x v="10"/>
    <n v="96"/>
    <n v="95.7"/>
    <n v="3600"/>
    <n v="3440"/>
    <n v="99.69"/>
    <n v="95.56"/>
    <x v="0"/>
  </r>
  <r>
    <x v="3"/>
    <x v="11"/>
    <n v="96"/>
    <n v="96.9"/>
    <n v="3600"/>
    <n v="3610"/>
    <n v="100.94"/>
    <n v="100.28"/>
    <x v="0"/>
  </r>
  <r>
    <x v="4"/>
    <x v="0"/>
    <n v="97"/>
    <n v="98"/>
    <n v="5500"/>
    <n v="5600"/>
    <n v="101.03"/>
    <n v="101.82"/>
    <x v="0"/>
  </r>
  <r>
    <x v="4"/>
    <x v="1"/>
    <n v="97"/>
    <n v="97.2"/>
    <n v="5500"/>
    <n v="5350"/>
    <n v="100.21"/>
    <n v="97.27"/>
    <x v="0"/>
  </r>
  <r>
    <x v="4"/>
    <x v="2"/>
    <n v="97"/>
    <n v="98.5"/>
    <n v="5500"/>
    <n v="5700"/>
    <n v="101.55"/>
    <n v="103.64"/>
    <x v="0"/>
  </r>
  <r>
    <x v="4"/>
    <x v="3"/>
    <n v="97"/>
    <n v="96.8"/>
    <n v="5500"/>
    <n v="5450"/>
    <n v="99.79"/>
    <n v="99.09"/>
    <x v="0"/>
  </r>
  <r>
    <x v="4"/>
    <x v="4"/>
    <n v="97"/>
    <n v="95.1"/>
    <n v="5500"/>
    <n v="5200"/>
    <n v="98.04"/>
    <n v="94.55"/>
    <x v="1"/>
  </r>
  <r>
    <x v="4"/>
    <x v="5"/>
    <n v="97"/>
    <n v="98.2"/>
    <n v="5500"/>
    <n v="5820"/>
    <n v="101.24"/>
    <n v="105.82"/>
    <x v="0"/>
  </r>
  <r>
    <x v="4"/>
    <x v="6"/>
    <n v="97"/>
    <n v="98.9"/>
    <n v="5500"/>
    <n v="6000"/>
    <n v="101.96"/>
    <n v="109.09"/>
    <x v="0"/>
  </r>
  <r>
    <x v="4"/>
    <x v="7"/>
    <n v="97"/>
    <n v="98.5"/>
    <n v="5500"/>
    <n v="5950"/>
    <n v="101.55"/>
    <n v="108.18"/>
    <x v="0"/>
  </r>
  <r>
    <x v="4"/>
    <x v="8"/>
    <n v="97"/>
    <n v="97.7"/>
    <n v="5500"/>
    <n v="5680"/>
    <n v="100.72"/>
    <n v="103.27"/>
    <x v="0"/>
  </r>
  <r>
    <x v="4"/>
    <x v="9"/>
    <n v="97"/>
    <n v="97"/>
    <n v="5500"/>
    <n v="5420"/>
    <n v="100"/>
    <n v="98.55"/>
    <x v="0"/>
  </r>
  <r>
    <x v="4"/>
    <x v="10"/>
    <n v="97"/>
    <n v="96.4"/>
    <n v="5500"/>
    <n v="5290"/>
    <n v="99.38"/>
    <n v="96.18"/>
    <x v="0"/>
  </r>
  <r>
    <x v="4"/>
    <x v="11"/>
    <n v="97"/>
    <n v="97.6"/>
    <n v="5500"/>
    <n v="5550"/>
    <n v="100.62"/>
    <n v="100.9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6E4523-B7F3-44B3-B1F2-E147C7DF2A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1:B17" firstHeaderRow="1" firstDataRow="1" firstDataCol="1"/>
  <pivotFields count="11">
    <pivotField axis="axisRow" showAll="0">
      <items count="6">
        <item x="3"/>
        <item x="2"/>
        <item x="4"/>
        <item x="1"/>
        <item x="0"/>
        <item t="default"/>
      </items>
    </pivotField>
    <pivotField numFmtId="164" showAll="0">
      <items count="13">
        <item x="0"/>
        <item x="1"/>
        <item x="2"/>
        <item x="3"/>
        <item x="4"/>
        <item x="5"/>
        <item x="6"/>
        <item x="7"/>
        <item x="8"/>
        <item x="9"/>
        <item x="10"/>
        <item x="11"/>
        <item t="default"/>
      </items>
    </pivotField>
    <pivotField showAll="0"/>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1"/>
    </i>
    <i>
      <x v="2"/>
    </i>
    <i>
      <x v="3"/>
    </i>
    <i>
      <x v="4"/>
    </i>
    <i t="grand">
      <x/>
    </i>
  </rowItems>
  <colItems count="1">
    <i/>
  </colItems>
  <dataFields count="1">
    <dataField name="Average of Production_SLA" fld="7" subtotal="average"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7FF168-BA9E-4FAB-BBF9-482D05498B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B8" firstHeaderRow="1" firstDataRow="1" firstDataCol="1"/>
  <pivotFields count="11">
    <pivotField axis="axisRow" showAll="0">
      <items count="6">
        <item x="3"/>
        <item x="2"/>
        <item x="4"/>
        <item x="1"/>
        <item x="0"/>
        <item t="default"/>
      </items>
    </pivotField>
    <pivotField numFmtId="164" showAll="0">
      <items count="13">
        <item x="0"/>
        <item x="1"/>
        <item x="2"/>
        <item x="3"/>
        <item x="4"/>
        <item x="5"/>
        <item x="6"/>
        <item x="7"/>
        <item x="8"/>
        <item x="9"/>
        <item x="10"/>
        <item x="11"/>
        <item t="default"/>
      </items>
    </pivotField>
    <pivotField showAll="0"/>
    <pivotField showAll="0"/>
    <pivotField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1"/>
    </i>
    <i>
      <x v="2"/>
    </i>
    <i>
      <x v="3"/>
    </i>
    <i>
      <x v="4"/>
    </i>
    <i t="grand">
      <x/>
    </i>
  </rowItems>
  <colItems count="1">
    <i/>
  </colItems>
  <dataFields count="1">
    <dataField name="Average of Availability_SLA" fld="6" subtotal="average" baseField="0" baseItem="0"/>
  </dataFields>
  <chartFormats count="1">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E074DB-A997-4F0F-8420-1885256CA8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28" firstHeaderRow="1" firstDataRow="1" firstDataCol="1" rowPageCount="1" colPageCount="1"/>
  <pivotFields count="11">
    <pivotField axis="axisRow" showAll="0">
      <items count="6">
        <item x="3"/>
        <item x="2"/>
        <item x="4"/>
        <item x="1"/>
        <item x="0"/>
        <item t="default"/>
      </items>
    </pivotField>
    <pivotField numFmtId="164"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axis="axisPage" dataField="1" showAll="0">
      <items count="3">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6">
    <i>
      <x/>
    </i>
    <i>
      <x v="1"/>
    </i>
    <i>
      <x v="2"/>
    </i>
    <i>
      <x v="3"/>
    </i>
    <i>
      <x v="4"/>
    </i>
    <i t="grand">
      <x/>
    </i>
  </rowItems>
  <colItems count="1">
    <i/>
  </colItems>
  <pageFields count="1">
    <pageField fld="8" item="1" hier="-1"/>
  </pageFields>
  <dataFields count="1">
    <dataField name="Count of SLA_Status" fld="8"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A65E39-11CF-4955-A763-3A4D3FCE5D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2:F15" firstHeaderRow="0" firstDataRow="1" firstDataCol="1"/>
  <pivotFields count="11">
    <pivotField showAll="0"/>
    <pivotField axis="axisRow" numFmtId="164" showAll="0">
      <items count="13">
        <item x="0"/>
        <item x="1"/>
        <item x="2"/>
        <item x="3"/>
        <item x="4"/>
        <item x="5"/>
        <item x="6"/>
        <item x="7"/>
        <item x="8"/>
        <item x="9"/>
        <item x="10"/>
        <item x="11"/>
        <item t="default"/>
      </items>
    </pivotField>
    <pivotField showAll="0"/>
    <pivotField showAll="0"/>
    <pivotField showAll="0"/>
    <pivotField showAll="0"/>
    <pivotField dataField="1"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Availability_SLA" fld="6" subtotal="average" baseField="0" baseItem="0"/>
    <dataField name="Average of Production_SLA" fld="7" subtotal="average" baseField="0" baseItem="0"/>
  </dataFields>
  <chartFormats count="2">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E7CACA-2E10-4401-B10F-5FC869F02A3A}" autoFormatId="16" applyNumberFormats="0" applyBorderFormats="0" applyFontFormats="0" applyPatternFormats="0" applyAlignmentFormats="0" applyWidthHeightFormats="0">
  <queryTableRefresh nextId="10">
    <queryTableFields count="9">
      <queryTableField id="1" name="SiteName" tableColumnId="1"/>
      <queryTableField id="2" name="Month" tableColumnId="2"/>
      <queryTableField id="3" name="ContractedAvailability_pct" tableColumnId="3"/>
      <queryTableField id="4" name="ActualAvailability_pct" tableColumnId="4"/>
      <queryTableField id="5" name="ContractedProduction_MWh" tableColumnId="5"/>
      <queryTableField id="6" name="ActualProduction_MWh" tableColumnId="6"/>
      <queryTableField id="7" name="Availability_SLA" tableColumnId="7"/>
      <queryTableField id="8" name="Production_SLA" tableColumnId="8"/>
      <queryTableField id="9" name="SLA_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F11F4793-D6FF-4D02-B913-D5640132F19D}" autoFormatId="16" applyNumberFormats="0" applyBorderFormats="0" applyFontFormats="0" applyPatternFormats="0" applyAlignmentFormats="0" applyWidthHeightFormats="0">
  <queryTableRefresh nextId="10">
    <queryTableFields count="9">
      <queryTableField id="1" name="SiteName" tableColumnId="1"/>
      <queryTableField id="2" name="Month" tableColumnId="2"/>
      <queryTableField id="3" name="ContractedAvailability_pct" tableColumnId="3"/>
      <queryTableField id="4" name="ActualAvailability_pct" tableColumnId="4"/>
      <queryTableField id="5" name="ContractedProduction_MWh" tableColumnId="5"/>
      <queryTableField id="6" name="ActualProduction_MWh" tableColumnId="6"/>
      <queryTableField id="7" name="Availability_SLA" tableColumnId="7"/>
      <queryTableField id="8" name="Production_SLA" tableColumnId="8"/>
      <queryTableField id="9" name="SLA_Statu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Month" xr10:uid="{110297E6-1510-40DB-8F2B-B60FE9FC3677}" sourceName="Months (Month)">
  <pivotTables>
    <pivotTable tabId="5" name="PivotTable5"/>
  </pivotTables>
  <data>
    <tabular pivotCacheId="1901526123">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Month) 1" xr10:uid="{61C35E16-3124-4C97-92B6-C190FE7090B6}" cache="Slicer_Months__Month" caption="Months (Month)"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Month)" xr10:uid="{0C75C9DF-5C3F-4F65-93F7-16A0ACA6D80E}" cache="Slicer_Months__Month" caption="Months (Month)"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84905D-1BDE-4539-85FA-0C09F0CC8F34}" name="qry_SLA_Performance" displayName="qry_SLA_Performance" ref="A1:I61" tableType="queryTable" totalsRowShown="0">
  <tableColumns count="9">
    <tableColumn id="1" xr3:uid="{56D3D385-E826-43C9-923B-EEAF9898129E}" uniqueName="1" name="SiteName" queryTableFieldId="1" dataDxfId="22"/>
    <tableColumn id="2" xr3:uid="{E4CF3771-C493-4F8E-8D1B-F663E14923DA}" uniqueName="2" name="Month" queryTableFieldId="2" dataDxfId="1"/>
    <tableColumn id="3" xr3:uid="{A8875AC4-6339-4E2D-88C9-7F6C7EC9294B}" uniqueName="3" name="ContractedAvailability_pct" queryTableFieldId="3" dataDxfId="21"/>
    <tableColumn id="4" xr3:uid="{B98C085A-D84F-4873-AA26-BCB2F591C2B0}" uniqueName="4" name="ActualAvailability_pct" queryTableFieldId="4" dataDxfId="20"/>
    <tableColumn id="5" xr3:uid="{01E09442-6004-4677-AF8D-F0E3F82B8A81}" uniqueName="5" name="ContractedProduction_MWh" queryTableFieldId="5" dataDxfId="19"/>
    <tableColumn id="6" xr3:uid="{D5FD82F0-1D72-485A-9905-D043C5B59134}" uniqueName="6" name="ActualProduction_MWh" queryTableFieldId="6" dataDxfId="18"/>
    <tableColumn id="7" xr3:uid="{2DDB9315-76B1-4ADC-BECB-89E926D2B589}" uniqueName="7" name="Availability_SLA" queryTableFieldId="7" dataDxfId="17"/>
    <tableColumn id="8" xr3:uid="{F1D1DF56-F54D-4E42-A486-DD46243899F7}" uniqueName="8" name="Production_SLA" queryTableFieldId="8" dataDxfId="16"/>
    <tableColumn id="9" xr3:uid="{CE27BC38-5ED6-4368-90A5-80481789CBD6}" uniqueName="9" name="SLA_Status" queryTableFieldId="9" dataDxfId="15"/>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1F60BC-F4C0-46FE-9F0C-1AF9924AAB1C}" name="qry_SLA_Breach" displayName="qry_SLA_Breach" ref="A1:I4" tableType="queryTable" totalsRowShown="0" headerRowDxfId="2" headerRowBorderDxfId="13" tableBorderDxfId="14" totalsRowBorderDxfId="12">
  <tableColumns count="9">
    <tableColumn id="1" xr3:uid="{FADFEE3D-BE17-43F6-BF4E-495F5ACAAFB2}" uniqueName="1" name="SiteName" queryTableFieldId="1" dataDxfId="11"/>
    <tableColumn id="2" xr3:uid="{E1F73168-E3C6-4407-80B4-1502733F970F}" uniqueName="2" name="Month" queryTableFieldId="2" dataDxfId="10"/>
    <tableColumn id="3" xr3:uid="{5B041CA6-FCB0-4417-A051-7EDBD5F680C8}" uniqueName="3" name="ContractedAvailability_pct" queryTableFieldId="3" dataDxfId="9"/>
    <tableColumn id="4" xr3:uid="{53825B46-484A-4C13-83F7-9E6C555C3F8F}" uniqueName="4" name="ActualAvailability_pct" queryTableFieldId="4" dataDxfId="8"/>
    <tableColumn id="5" xr3:uid="{2552364F-98C9-440E-8835-B986F24CC199}" uniqueName="5" name="ContractedProduction_MWh" queryTableFieldId="5" dataDxfId="7"/>
    <tableColumn id="6" xr3:uid="{43E1E53D-DC0B-4942-AB19-3E3E5773B116}" uniqueName="6" name="ActualProduction_MWh" queryTableFieldId="6" dataDxfId="6"/>
    <tableColumn id="7" xr3:uid="{3190F76B-2239-44AB-AD82-454B141F2FAE}" uniqueName="7" name="Availability_SLA" queryTableFieldId="7" dataDxfId="5"/>
    <tableColumn id="8" xr3:uid="{BA8AB284-DF63-42EF-B1EB-66D548B0BE6B}" uniqueName="8" name="Production_SLA" queryTableFieldId="8" dataDxfId="4"/>
    <tableColumn id="9" xr3:uid="{EB5A33BA-3776-460D-9F7E-9723891E982C}" uniqueName="9" name="SLA_Status" queryTableFieldId="9" dataDxfId="3"/>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ECCE2-BA6A-4A9D-A707-B7FD10A59E88}">
  <dimension ref="A1:O33"/>
  <sheetViews>
    <sheetView tabSelected="1" zoomScale="80" zoomScaleNormal="80" workbookViewId="0">
      <selection activeCell="U9" sqref="U9"/>
    </sheetView>
  </sheetViews>
  <sheetFormatPr defaultRowHeight="14.4" x14ac:dyDescent="0.3"/>
  <cols>
    <col min="3" max="3" width="18" customWidth="1"/>
    <col min="6" max="6" width="17.77734375" customWidth="1"/>
    <col min="9" max="9" width="17.88671875" customWidth="1"/>
    <col min="12" max="12" width="17.6640625" customWidth="1"/>
  </cols>
  <sheetData>
    <row r="1" spans="1:15" ht="36.6" x14ac:dyDescent="0.7">
      <c r="A1" s="19" t="s">
        <v>37</v>
      </c>
      <c r="B1" s="19"/>
      <c r="C1" s="19"/>
      <c r="D1" s="19"/>
      <c r="E1" s="19"/>
      <c r="F1" s="19"/>
      <c r="G1" s="19"/>
      <c r="H1" s="19"/>
      <c r="I1" s="19"/>
      <c r="J1" s="19"/>
      <c r="K1" s="19"/>
      <c r="L1" s="19"/>
      <c r="M1" s="19"/>
      <c r="N1" s="19"/>
      <c r="O1" s="19"/>
    </row>
    <row r="2" spans="1:15" ht="14.4" customHeight="1" x14ac:dyDescent="0.3">
      <c r="A2" s="7">
        <f>ROUND('Pivot Table'!B8,2)</f>
        <v>100.64</v>
      </c>
      <c r="B2" s="7"/>
      <c r="C2" s="7"/>
      <c r="D2" s="7">
        <f>'Pivot Table'!B17</f>
        <v>101.358</v>
      </c>
      <c r="E2" s="7"/>
      <c r="F2" s="7"/>
      <c r="G2" s="7">
        <f>COUNTIF('SLA Table'!I:I,"Met SLA")</f>
        <v>57</v>
      </c>
      <c r="H2" s="7"/>
      <c r="I2" s="7"/>
      <c r="J2" s="7">
        <f>COUNTIF('SLA Table'!I:I,"Breach")</f>
        <v>3</v>
      </c>
      <c r="K2" s="7"/>
      <c r="L2" s="7"/>
      <c r="M2" s="6"/>
      <c r="N2" s="6"/>
      <c r="O2" s="6"/>
    </row>
    <row r="3" spans="1:15" ht="14.4" customHeight="1" x14ac:dyDescent="0.3">
      <c r="A3" s="7"/>
      <c r="B3" s="7"/>
      <c r="C3" s="7"/>
      <c r="D3" s="7"/>
      <c r="E3" s="7"/>
      <c r="F3" s="7"/>
      <c r="G3" s="7"/>
      <c r="H3" s="7"/>
      <c r="I3" s="7"/>
      <c r="J3" s="7"/>
      <c r="K3" s="7"/>
      <c r="L3" s="7"/>
      <c r="M3" s="6"/>
      <c r="N3" s="6"/>
      <c r="O3" s="6"/>
    </row>
    <row r="4" spans="1:15" ht="14.4" customHeight="1" x14ac:dyDescent="0.3">
      <c r="A4" s="7"/>
      <c r="B4" s="7"/>
      <c r="C4" s="7"/>
      <c r="D4" s="7"/>
      <c r="E4" s="7"/>
      <c r="F4" s="7"/>
      <c r="G4" s="7"/>
      <c r="H4" s="7"/>
      <c r="I4" s="7"/>
      <c r="J4" s="7"/>
      <c r="K4" s="7"/>
      <c r="L4" s="7"/>
      <c r="M4" s="6"/>
      <c r="N4" s="6"/>
      <c r="O4" s="6"/>
    </row>
    <row r="5" spans="1:15" ht="14.4" customHeight="1" x14ac:dyDescent="0.3">
      <c r="A5" s="7"/>
      <c r="B5" s="7"/>
      <c r="C5" s="7"/>
      <c r="D5" s="7"/>
      <c r="E5" s="7"/>
      <c r="F5" s="7"/>
      <c r="G5" s="7"/>
      <c r="H5" s="7"/>
      <c r="I5" s="7"/>
      <c r="J5" s="7"/>
      <c r="K5" s="7"/>
      <c r="L5" s="7"/>
      <c r="M5" s="6"/>
      <c r="N5" s="6"/>
      <c r="O5" s="6"/>
    </row>
    <row r="6" spans="1:15" x14ac:dyDescent="0.3">
      <c r="M6" s="6"/>
      <c r="N6" s="6"/>
      <c r="O6" s="6"/>
    </row>
    <row r="7" spans="1:15" x14ac:dyDescent="0.3">
      <c r="M7" s="6"/>
      <c r="N7" s="6"/>
      <c r="O7" s="6"/>
    </row>
    <row r="8" spans="1:15" x14ac:dyDescent="0.3">
      <c r="M8" s="6"/>
      <c r="N8" s="6"/>
      <c r="O8" s="6"/>
    </row>
    <row r="9" spans="1:15" x14ac:dyDescent="0.3">
      <c r="M9" s="6"/>
      <c r="N9" s="6"/>
      <c r="O9" s="6"/>
    </row>
    <row r="10" spans="1:15" x14ac:dyDescent="0.3">
      <c r="M10" s="6"/>
      <c r="N10" s="6"/>
      <c r="O10" s="6"/>
    </row>
    <row r="11" spans="1:15" x14ac:dyDescent="0.3">
      <c r="M11" s="6"/>
      <c r="N11" s="6"/>
      <c r="O11" s="6"/>
    </row>
    <row r="12" spans="1:15" x14ac:dyDescent="0.3">
      <c r="M12" s="6"/>
      <c r="N12" s="6"/>
      <c r="O12" s="6"/>
    </row>
    <row r="13" spans="1:15" x14ac:dyDescent="0.3">
      <c r="M13" s="6"/>
      <c r="N13" s="6"/>
      <c r="O13" s="6"/>
    </row>
    <row r="14" spans="1:15" x14ac:dyDescent="0.3">
      <c r="M14" s="6"/>
      <c r="N14" s="6"/>
      <c r="O14" s="6"/>
    </row>
    <row r="15" spans="1:15" x14ac:dyDescent="0.3">
      <c r="M15" s="6"/>
      <c r="N15" s="6"/>
      <c r="O15" s="6"/>
    </row>
    <row r="16" spans="1:15" x14ac:dyDescent="0.3">
      <c r="M16" s="6"/>
      <c r="N16" s="6"/>
      <c r="O16" s="6"/>
    </row>
    <row r="17" spans="13:15" x14ac:dyDescent="0.3">
      <c r="M17" s="6"/>
      <c r="N17" s="6"/>
      <c r="O17" s="6"/>
    </row>
    <row r="18" spans="13:15" x14ac:dyDescent="0.3">
      <c r="M18" s="6"/>
      <c r="N18" s="6"/>
      <c r="O18" s="6"/>
    </row>
    <row r="19" spans="13:15" x14ac:dyDescent="0.3">
      <c r="M19" s="6"/>
      <c r="N19" s="6"/>
      <c r="O19" s="6"/>
    </row>
    <row r="20" spans="13:15" x14ac:dyDescent="0.3">
      <c r="M20" s="6"/>
      <c r="N20" s="6"/>
      <c r="O20" s="6"/>
    </row>
    <row r="21" spans="13:15" x14ac:dyDescent="0.3">
      <c r="M21" s="6"/>
      <c r="N21" s="6"/>
      <c r="O21" s="6"/>
    </row>
    <row r="22" spans="13:15" x14ac:dyDescent="0.3">
      <c r="M22" s="6"/>
      <c r="N22" s="6"/>
      <c r="O22" s="6"/>
    </row>
    <row r="23" spans="13:15" x14ac:dyDescent="0.3">
      <c r="M23" s="6"/>
      <c r="N23" s="6"/>
      <c r="O23" s="6"/>
    </row>
    <row r="24" spans="13:15" x14ac:dyDescent="0.3">
      <c r="M24" s="6"/>
      <c r="N24" s="6"/>
      <c r="O24" s="6"/>
    </row>
    <row r="25" spans="13:15" x14ac:dyDescent="0.3">
      <c r="M25" s="6"/>
      <c r="N25" s="6"/>
      <c r="O25" s="6"/>
    </row>
    <row r="26" spans="13:15" x14ac:dyDescent="0.3">
      <c r="M26" s="6"/>
      <c r="N26" s="6"/>
      <c r="O26" s="6"/>
    </row>
    <row r="27" spans="13:15" x14ac:dyDescent="0.3">
      <c r="M27" s="6"/>
      <c r="N27" s="6"/>
      <c r="O27" s="6"/>
    </row>
    <row r="28" spans="13:15" x14ac:dyDescent="0.3">
      <c r="M28" s="6"/>
      <c r="N28" s="6"/>
      <c r="O28" s="6"/>
    </row>
    <row r="29" spans="13:15" x14ac:dyDescent="0.3">
      <c r="M29" s="6"/>
      <c r="N29" s="6"/>
      <c r="O29" s="6"/>
    </row>
    <row r="30" spans="13:15" x14ac:dyDescent="0.3">
      <c r="M30" s="6"/>
      <c r="N30" s="6"/>
      <c r="O30" s="6"/>
    </row>
    <row r="31" spans="13:15" x14ac:dyDescent="0.3">
      <c r="M31" s="6"/>
      <c r="N31" s="6"/>
      <c r="O31" s="6"/>
    </row>
    <row r="32" spans="13:15" x14ac:dyDescent="0.3">
      <c r="M32" s="6"/>
      <c r="N32" s="6"/>
      <c r="O32" s="6"/>
    </row>
    <row r="33" spans="13:15" x14ac:dyDescent="0.3">
      <c r="M33" s="6"/>
      <c r="N33" s="6"/>
      <c r="O33" s="6"/>
    </row>
  </sheetData>
  <mergeCells count="6">
    <mergeCell ref="A2:C5"/>
    <mergeCell ref="D2:F5"/>
    <mergeCell ref="G2:I5"/>
    <mergeCell ref="J2:L5"/>
    <mergeCell ref="A1:O1"/>
    <mergeCell ref="M2:O3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960D4-713B-4555-B37B-56F7BCA50D27}">
  <dimension ref="A1:F28"/>
  <sheetViews>
    <sheetView zoomScale="93" zoomScaleNormal="93" workbookViewId="0">
      <selection activeCell="F27" sqref="F27"/>
    </sheetView>
  </sheetViews>
  <sheetFormatPr defaultRowHeight="14.4" x14ac:dyDescent="0.3"/>
  <cols>
    <col min="1" max="1" width="22.21875" bestFit="1" customWidth="1"/>
    <col min="2" max="2" width="25.88671875" bestFit="1" customWidth="1"/>
    <col min="3" max="3" width="6.21875" customWidth="1"/>
    <col min="4" max="4" width="13" bestFit="1" customWidth="1"/>
    <col min="5" max="5" width="24.21875" bestFit="1" customWidth="1"/>
    <col min="6" max="6" width="24.33203125" bestFit="1" customWidth="1"/>
  </cols>
  <sheetData>
    <row r="1" spans="1:6" ht="18" x14ac:dyDescent="0.3">
      <c r="A1" s="3" t="s">
        <v>19</v>
      </c>
      <c r="B1" s="3"/>
      <c r="D1" s="3" t="s">
        <v>22</v>
      </c>
      <c r="E1" s="3"/>
    </row>
    <row r="2" spans="1:6" x14ac:dyDescent="0.3">
      <c r="A2" s="1" t="s">
        <v>16</v>
      </c>
      <c r="B2" t="s">
        <v>18</v>
      </c>
      <c r="D2" s="1" t="s">
        <v>16</v>
      </c>
      <c r="E2" t="s">
        <v>18</v>
      </c>
      <c r="F2" t="s">
        <v>21</v>
      </c>
    </row>
    <row r="3" spans="1:6" x14ac:dyDescent="0.3">
      <c r="A3" s="2" t="s">
        <v>14</v>
      </c>
      <c r="B3">
        <v>100.65249999999999</v>
      </c>
      <c r="D3" s="2" t="s">
        <v>23</v>
      </c>
      <c r="E3" s="5">
        <v>101.16</v>
      </c>
      <c r="F3" s="5">
        <v>101.768</v>
      </c>
    </row>
    <row r="4" spans="1:6" x14ac:dyDescent="0.3">
      <c r="A4" s="2" t="s">
        <v>13</v>
      </c>
      <c r="B4">
        <v>100.59083333333332</v>
      </c>
      <c r="D4" s="2" t="s">
        <v>24</v>
      </c>
      <c r="E4" s="5">
        <v>100.33199999999999</v>
      </c>
      <c r="F4" s="5">
        <v>97.345999999999989</v>
      </c>
    </row>
    <row r="5" spans="1:6" x14ac:dyDescent="0.3">
      <c r="A5" s="2" t="s">
        <v>15</v>
      </c>
      <c r="B5">
        <v>100.50750000000001</v>
      </c>
      <c r="D5" s="2" t="s">
        <v>25</v>
      </c>
      <c r="E5" s="5">
        <v>101.69800000000001</v>
      </c>
      <c r="F5" s="5">
        <v>103.48800000000001</v>
      </c>
    </row>
    <row r="6" spans="1:6" x14ac:dyDescent="0.3">
      <c r="A6" s="2" t="s">
        <v>12</v>
      </c>
      <c r="B6">
        <v>100.675</v>
      </c>
      <c r="D6" s="2" t="s">
        <v>26</v>
      </c>
      <c r="E6" s="5">
        <v>99.957999999999998</v>
      </c>
      <c r="F6" s="5">
        <v>98.665999999999983</v>
      </c>
    </row>
    <row r="7" spans="1:6" x14ac:dyDescent="0.3">
      <c r="A7" s="2" t="s">
        <v>9</v>
      </c>
      <c r="B7">
        <v>100.79083333333331</v>
      </c>
      <c r="D7" s="2" t="s">
        <v>27</v>
      </c>
      <c r="E7" s="5">
        <v>98.058000000000007</v>
      </c>
      <c r="F7" s="5">
        <v>94.828000000000003</v>
      </c>
    </row>
    <row r="8" spans="1:6" x14ac:dyDescent="0.3">
      <c r="A8" s="2" t="s">
        <v>17</v>
      </c>
      <c r="B8">
        <v>100.64333333333335</v>
      </c>
      <c r="D8" s="2" t="s">
        <v>28</v>
      </c>
      <c r="E8" s="5">
        <v>101.24000000000001</v>
      </c>
      <c r="F8" s="5">
        <v>105.53000000000002</v>
      </c>
    </row>
    <row r="9" spans="1:6" x14ac:dyDescent="0.3">
      <c r="D9" s="2" t="s">
        <v>29</v>
      </c>
      <c r="E9" s="5">
        <v>102.08799999999999</v>
      </c>
      <c r="F9" s="5">
        <v>109.08400000000002</v>
      </c>
    </row>
    <row r="10" spans="1:6" ht="18" x14ac:dyDescent="0.35">
      <c r="A10" s="4" t="s">
        <v>20</v>
      </c>
      <c r="B10" s="4"/>
      <c r="D10" s="2" t="s">
        <v>30</v>
      </c>
      <c r="E10" s="5">
        <v>101.696</v>
      </c>
      <c r="F10" s="5">
        <v>107.80199999999999</v>
      </c>
    </row>
    <row r="11" spans="1:6" x14ac:dyDescent="0.3">
      <c r="A11" s="1" t="s">
        <v>16</v>
      </c>
      <c r="B11" t="s">
        <v>21</v>
      </c>
      <c r="D11" s="2" t="s">
        <v>31</v>
      </c>
      <c r="E11" s="5">
        <v>100.86800000000001</v>
      </c>
      <c r="F11" s="5">
        <v>102.944</v>
      </c>
    </row>
    <row r="12" spans="1:6" x14ac:dyDescent="0.3">
      <c r="A12" s="2" t="s">
        <v>14</v>
      </c>
      <c r="B12">
        <v>101.27333333333333</v>
      </c>
      <c r="D12" s="2" t="s">
        <v>32</v>
      </c>
      <c r="E12" s="5">
        <v>100.18600000000001</v>
      </c>
      <c r="F12" s="5">
        <v>98.352000000000004</v>
      </c>
    </row>
    <row r="13" spans="1:6" x14ac:dyDescent="0.3">
      <c r="A13" s="2" t="s">
        <v>13</v>
      </c>
      <c r="B13">
        <v>101.68333333333334</v>
      </c>
      <c r="D13" s="2" t="s">
        <v>33</v>
      </c>
      <c r="E13" s="5">
        <v>99.608000000000004</v>
      </c>
      <c r="F13" s="5">
        <v>96.003999999999991</v>
      </c>
    </row>
    <row r="14" spans="1:6" x14ac:dyDescent="0.3">
      <c r="A14" s="2" t="s">
        <v>15</v>
      </c>
      <c r="B14">
        <v>101.53083333333335</v>
      </c>
      <c r="D14" s="2" t="s">
        <v>34</v>
      </c>
      <c r="E14" s="5">
        <v>100.828</v>
      </c>
      <c r="F14" s="5">
        <v>100.48399999999999</v>
      </c>
    </row>
    <row r="15" spans="1:6" x14ac:dyDescent="0.3">
      <c r="A15" s="2" t="s">
        <v>12</v>
      </c>
      <c r="B15">
        <v>101.34416666666668</v>
      </c>
      <c r="D15" s="2" t="s">
        <v>17</v>
      </c>
      <c r="E15" s="5">
        <v>100.64333333333335</v>
      </c>
      <c r="F15" s="5">
        <v>101.35799999999996</v>
      </c>
    </row>
    <row r="16" spans="1:6" x14ac:dyDescent="0.3">
      <c r="A16" s="2" t="s">
        <v>9</v>
      </c>
      <c r="B16">
        <v>100.95833333333333</v>
      </c>
    </row>
    <row r="17" spans="1:2" x14ac:dyDescent="0.3">
      <c r="A17" s="2" t="s">
        <v>17</v>
      </c>
      <c r="B17">
        <v>101.358</v>
      </c>
    </row>
    <row r="19" spans="1:2" ht="18" x14ac:dyDescent="0.35">
      <c r="A19" s="4" t="s">
        <v>36</v>
      </c>
      <c r="B19" s="4"/>
    </row>
    <row r="20" spans="1:2" x14ac:dyDescent="0.3">
      <c r="A20" s="1" t="s">
        <v>8</v>
      </c>
      <c r="B20" t="s">
        <v>10</v>
      </c>
    </row>
    <row r="22" spans="1:2" x14ac:dyDescent="0.3">
      <c r="A22" s="1" t="s">
        <v>16</v>
      </c>
      <c r="B22" t="s">
        <v>35</v>
      </c>
    </row>
    <row r="23" spans="1:2" x14ac:dyDescent="0.3">
      <c r="A23" s="2" t="s">
        <v>14</v>
      </c>
      <c r="B23" s="5">
        <v>11</v>
      </c>
    </row>
    <row r="24" spans="1:2" x14ac:dyDescent="0.3">
      <c r="A24" s="2" t="s">
        <v>13</v>
      </c>
      <c r="B24" s="5">
        <v>12</v>
      </c>
    </row>
    <row r="25" spans="1:2" x14ac:dyDescent="0.3">
      <c r="A25" s="2" t="s">
        <v>15</v>
      </c>
      <c r="B25" s="5">
        <v>11</v>
      </c>
    </row>
    <row r="26" spans="1:2" x14ac:dyDescent="0.3">
      <c r="A26" s="2" t="s">
        <v>12</v>
      </c>
      <c r="B26" s="5">
        <v>12</v>
      </c>
    </row>
    <row r="27" spans="1:2" x14ac:dyDescent="0.3">
      <c r="A27" s="2" t="s">
        <v>9</v>
      </c>
      <c r="B27" s="5">
        <v>11</v>
      </c>
    </row>
    <row r="28" spans="1:2" x14ac:dyDescent="0.3">
      <c r="A28" s="2" t="s">
        <v>17</v>
      </c>
      <c r="B28" s="5">
        <v>57</v>
      </c>
    </row>
  </sheetData>
  <mergeCells count="4">
    <mergeCell ref="A1:B1"/>
    <mergeCell ref="A10:B10"/>
    <mergeCell ref="D1:E1"/>
    <mergeCell ref="A19:B19"/>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249A-2E32-4292-B3B9-9F3E1BABEB14}">
  <dimension ref="A1:I61"/>
  <sheetViews>
    <sheetView zoomScale="105" zoomScaleNormal="46" workbookViewId="0">
      <selection activeCell="C15" sqref="C15"/>
    </sheetView>
  </sheetViews>
  <sheetFormatPr defaultRowHeight="14.4" x14ac:dyDescent="0.3"/>
  <cols>
    <col min="1" max="1" width="21.109375" bestFit="1" customWidth="1"/>
    <col min="2" max="2" width="14.88671875" bestFit="1" customWidth="1"/>
    <col min="3" max="3" width="25.77734375" bestFit="1" customWidth="1"/>
    <col min="4" max="4" width="21.6640625" bestFit="1" customWidth="1"/>
    <col min="5" max="5" width="28" bestFit="1" customWidth="1"/>
    <col min="6" max="6" width="23.88671875" bestFit="1" customWidth="1"/>
    <col min="7" max="7" width="16.6640625" bestFit="1" customWidth="1"/>
    <col min="8" max="8" width="16.77734375" bestFit="1" customWidth="1"/>
    <col min="9" max="9" width="12.5546875" bestFit="1" customWidth="1"/>
  </cols>
  <sheetData>
    <row r="1" spans="1:9" x14ac:dyDescent="0.3">
      <c r="A1" t="s">
        <v>0</v>
      </c>
      <c r="B1" t="s">
        <v>1</v>
      </c>
      <c r="C1" t="s">
        <v>2</v>
      </c>
      <c r="D1" t="s">
        <v>3</v>
      </c>
      <c r="E1" t="s">
        <v>4</v>
      </c>
      <c r="F1" t="s">
        <v>5</v>
      </c>
      <c r="G1" t="s">
        <v>6</v>
      </c>
      <c r="H1" t="s">
        <v>7</v>
      </c>
      <c r="I1" t="s">
        <v>8</v>
      </c>
    </row>
    <row r="2" spans="1:9" x14ac:dyDescent="0.3">
      <c r="A2" s="8" t="s">
        <v>9</v>
      </c>
      <c r="B2" s="9">
        <v>45658</v>
      </c>
      <c r="C2" s="8">
        <v>97</v>
      </c>
      <c r="D2" s="8">
        <v>98.2</v>
      </c>
      <c r="E2" s="8">
        <v>4000</v>
      </c>
      <c r="F2" s="8">
        <v>4050</v>
      </c>
      <c r="G2" s="8">
        <v>101.24</v>
      </c>
      <c r="H2" s="8">
        <v>101.25</v>
      </c>
      <c r="I2" s="8" t="s">
        <v>10</v>
      </c>
    </row>
    <row r="3" spans="1:9" x14ac:dyDescent="0.3">
      <c r="A3" s="8" t="s">
        <v>9</v>
      </c>
      <c r="B3" s="9">
        <v>45689</v>
      </c>
      <c r="C3" s="8">
        <v>97</v>
      </c>
      <c r="D3" s="8">
        <v>97.5</v>
      </c>
      <c r="E3" s="8">
        <v>4000</v>
      </c>
      <c r="F3" s="8">
        <v>3870</v>
      </c>
      <c r="G3" s="8">
        <v>100.52</v>
      </c>
      <c r="H3" s="8">
        <v>96.75</v>
      </c>
      <c r="I3" s="8" t="s">
        <v>10</v>
      </c>
    </row>
    <row r="4" spans="1:9" x14ac:dyDescent="0.3">
      <c r="A4" s="8" t="s">
        <v>9</v>
      </c>
      <c r="B4" s="9">
        <v>45717</v>
      </c>
      <c r="C4" s="8">
        <v>97</v>
      </c>
      <c r="D4" s="8">
        <v>98.8</v>
      </c>
      <c r="E4" s="8">
        <v>4000</v>
      </c>
      <c r="F4" s="8">
        <v>4120</v>
      </c>
      <c r="G4" s="8">
        <v>101.86</v>
      </c>
      <c r="H4" s="8">
        <v>103</v>
      </c>
      <c r="I4" s="8" t="s">
        <v>10</v>
      </c>
    </row>
    <row r="5" spans="1:9" x14ac:dyDescent="0.3">
      <c r="A5" s="8" t="s">
        <v>9</v>
      </c>
      <c r="B5" s="9">
        <v>45748</v>
      </c>
      <c r="C5" s="8">
        <v>97</v>
      </c>
      <c r="D5" s="8">
        <v>97.1</v>
      </c>
      <c r="E5" s="8">
        <v>4000</v>
      </c>
      <c r="F5" s="8">
        <v>3950</v>
      </c>
      <c r="G5" s="8">
        <v>100.1</v>
      </c>
      <c r="H5" s="8">
        <v>98.75</v>
      </c>
      <c r="I5" s="8" t="s">
        <v>10</v>
      </c>
    </row>
    <row r="6" spans="1:9" x14ac:dyDescent="0.3">
      <c r="A6" s="8" t="s">
        <v>9</v>
      </c>
      <c r="B6" s="9">
        <v>45778</v>
      </c>
      <c r="C6" s="8">
        <v>97</v>
      </c>
      <c r="D6" s="8">
        <v>95.3</v>
      </c>
      <c r="E6" s="8">
        <v>4000</v>
      </c>
      <c r="F6" s="8">
        <v>3780</v>
      </c>
      <c r="G6" s="8">
        <v>98.25</v>
      </c>
      <c r="H6" s="8">
        <v>94.5</v>
      </c>
      <c r="I6" s="8" t="s">
        <v>11</v>
      </c>
    </row>
    <row r="7" spans="1:9" x14ac:dyDescent="0.3">
      <c r="A7" s="8" t="s">
        <v>9</v>
      </c>
      <c r="B7" s="9">
        <v>45809</v>
      </c>
      <c r="C7" s="8">
        <v>97</v>
      </c>
      <c r="D7" s="8">
        <v>98.5</v>
      </c>
      <c r="E7" s="8">
        <v>4000</v>
      </c>
      <c r="F7" s="8">
        <v>4200</v>
      </c>
      <c r="G7" s="8">
        <v>101.55</v>
      </c>
      <c r="H7" s="8">
        <v>105</v>
      </c>
      <c r="I7" s="8" t="s">
        <v>10</v>
      </c>
    </row>
    <row r="8" spans="1:9" x14ac:dyDescent="0.3">
      <c r="A8" s="8" t="s">
        <v>9</v>
      </c>
      <c r="B8" s="9">
        <v>45839</v>
      </c>
      <c r="C8" s="8">
        <v>97</v>
      </c>
      <c r="D8" s="8">
        <v>99.1</v>
      </c>
      <c r="E8" s="8">
        <v>4000</v>
      </c>
      <c r="F8" s="8">
        <v>4350</v>
      </c>
      <c r="G8" s="8">
        <v>102.16</v>
      </c>
      <c r="H8" s="8">
        <v>108.75</v>
      </c>
      <c r="I8" s="8" t="s">
        <v>10</v>
      </c>
    </row>
    <row r="9" spans="1:9" x14ac:dyDescent="0.3">
      <c r="A9" s="8" t="s">
        <v>9</v>
      </c>
      <c r="B9" s="9">
        <v>45870</v>
      </c>
      <c r="C9" s="8">
        <v>97</v>
      </c>
      <c r="D9" s="8">
        <v>98.7</v>
      </c>
      <c r="E9" s="8">
        <v>4000</v>
      </c>
      <c r="F9" s="8">
        <v>4280</v>
      </c>
      <c r="G9" s="8">
        <v>101.75</v>
      </c>
      <c r="H9" s="8">
        <v>107</v>
      </c>
      <c r="I9" s="8" t="s">
        <v>10</v>
      </c>
    </row>
    <row r="10" spans="1:9" x14ac:dyDescent="0.3">
      <c r="A10" s="8" t="s">
        <v>9</v>
      </c>
      <c r="B10" s="9">
        <v>45901</v>
      </c>
      <c r="C10" s="8">
        <v>97</v>
      </c>
      <c r="D10" s="8">
        <v>97.9</v>
      </c>
      <c r="E10" s="8">
        <v>4000</v>
      </c>
      <c r="F10" s="8">
        <v>4100</v>
      </c>
      <c r="G10" s="8">
        <v>100.93</v>
      </c>
      <c r="H10" s="8">
        <v>102.5</v>
      </c>
      <c r="I10" s="8" t="s">
        <v>10</v>
      </c>
    </row>
    <row r="11" spans="1:9" x14ac:dyDescent="0.3">
      <c r="A11" s="8" t="s">
        <v>9</v>
      </c>
      <c r="B11" s="9">
        <v>45931</v>
      </c>
      <c r="C11" s="8">
        <v>97</v>
      </c>
      <c r="D11" s="8">
        <v>97.3</v>
      </c>
      <c r="E11" s="8">
        <v>4000</v>
      </c>
      <c r="F11" s="8">
        <v>3920</v>
      </c>
      <c r="G11" s="8">
        <v>100.31</v>
      </c>
      <c r="H11" s="8">
        <v>98</v>
      </c>
      <c r="I11" s="8" t="s">
        <v>10</v>
      </c>
    </row>
    <row r="12" spans="1:9" x14ac:dyDescent="0.3">
      <c r="A12" s="8" t="s">
        <v>9</v>
      </c>
      <c r="B12" s="9">
        <v>45962</v>
      </c>
      <c r="C12" s="8">
        <v>97</v>
      </c>
      <c r="D12" s="8">
        <v>96.8</v>
      </c>
      <c r="E12" s="8">
        <v>4000</v>
      </c>
      <c r="F12" s="8">
        <v>3830</v>
      </c>
      <c r="G12" s="8">
        <v>99.79</v>
      </c>
      <c r="H12" s="8">
        <v>95.75</v>
      </c>
      <c r="I12" s="8" t="s">
        <v>10</v>
      </c>
    </row>
    <row r="13" spans="1:9" x14ac:dyDescent="0.3">
      <c r="A13" s="8" t="s">
        <v>9</v>
      </c>
      <c r="B13" s="9">
        <v>45992</v>
      </c>
      <c r="C13" s="8">
        <v>97</v>
      </c>
      <c r="D13" s="8">
        <v>98</v>
      </c>
      <c r="E13" s="8">
        <v>4000</v>
      </c>
      <c r="F13" s="8">
        <v>4010</v>
      </c>
      <c r="G13" s="8">
        <v>101.03</v>
      </c>
      <c r="H13" s="8">
        <v>100.25</v>
      </c>
      <c r="I13" s="8" t="s">
        <v>10</v>
      </c>
    </row>
    <row r="14" spans="1:9" x14ac:dyDescent="0.3">
      <c r="A14" s="8" t="s">
        <v>12</v>
      </c>
      <c r="B14" s="9">
        <v>45658</v>
      </c>
      <c r="C14" s="8">
        <v>96.5</v>
      </c>
      <c r="D14" s="8">
        <v>97.8</v>
      </c>
      <c r="E14" s="8">
        <v>6200</v>
      </c>
      <c r="F14" s="8">
        <v>6350</v>
      </c>
      <c r="G14" s="8">
        <v>101.35</v>
      </c>
      <c r="H14" s="8">
        <v>102.42</v>
      </c>
      <c r="I14" s="8" t="s">
        <v>10</v>
      </c>
    </row>
    <row r="15" spans="1:9" x14ac:dyDescent="0.3">
      <c r="A15" s="8" t="s">
        <v>12</v>
      </c>
      <c r="B15" s="9">
        <v>45689</v>
      </c>
      <c r="C15" s="8">
        <v>96.5</v>
      </c>
      <c r="D15" s="8">
        <v>96.9</v>
      </c>
      <c r="E15" s="8">
        <v>6200</v>
      </c>
      <c r="F15" s="8">
        <v>6100</v>
      </c>
      <c r="G15" s="8">
        <v>100.41</v>
      </c>
      <c r="H15" s="8">
        <v>98.39</v>
      </c>
      <c r="I15" s="8" t="s">
        <v>10</v>
      </c>
    </row>
    <row r="16" spans="1:9" x14ac:dyDescent="0.3">
      <c r="A16" s="8" t="s">
        <v>12</v>
      </c>
      <c r="B16" s="9">
        <v>45717</v>
      </c>
      <c r="C16" s="8">
        <v>96.5</v>
      </c>
      <c r="D16" s="8">
        <v>98.1</v>
      </c>
      <c r="E16" s="8">
        <v>6200</v>
      </c>
      <c r="F16" s="8">
        <v>6420</v>
      </c>
      <c r="G16" s="8">
        <v>101.66</v>
      </c>
      <c r="H16" s="8">
        <v>103.55</v>
      </c>
      <c r="I16" s="8" t="s">
        <v>10</v>
      </c>
    </row>
    <row r="17" spans="1:9" x14ac:dyDescent="0.3">
      <c r="A17" s="8" t="s">
        <v>12</v>
      </c>
      <c r="B17" s="9">
        <v>45748</v>
      </c>
      <c r="C17" s="8">
        <v>96.5</v>
      </c>
      <c r="D17" s="8">
        <v>96.5</v>
      </c>
      <c r="E17" s="8">
        <v>6200</v>
      </c>
      <c r="F17" s="8">
        <v>6050</v>
      </c>
      <c r="G17" s="8">
        <v>100</v>
      </c>
      <c r="H17" s="8">
        <v>97.58</v>
      </c>
      <c r="I17" s="8" t="s">
        <v>10</v>
      </c>
    </row>
    <row r="18" spans="1:9" x14ac:dyDescent="0.3">
      <c r="A18" s="8" t="s">
        <v>12</v>
      </c>
      <c r="B18" s="9">
        <v>45778</v>
      </c>
      <c r="C18" s="8">
        <v>96.5</v>
      </c>
      <c r="D18" s="8">
        <v>94.8</v>
      </c>
      <c r="E18" s="8">
        <v>6200</v>
      </c>
      <c r="F18" s="8">
        <v>5900</v>
      </c>
      <c r="G18" s="8">
        <v>98.24</v>
      </c>
      <c r="H18" s="8">
        <v>95.16</v>
      </c>
      <c r="I18" s="8" t="s">
        <v>10</v>
      </c>
    </row>
    <row r="19" spans="1:9" x14ac:dyDescent="0.3">
      <c r="A19" s="8" t="s">
        <v>12</v>
      </c>
      <c r="B19" s="9">
        <v>45809</v>
      </c>
      <c r="C19" s="8">
        <v>96.5</v>
      </c>
      <c r="D19" s="8">
        <v>97.5</v>
      </c>
      <c r="E19" s="8">
        <v>6200</v>
      </c>
      <c r="F19" s="8">
        <v>6500</v>
      </c>
      <c r="G19" s="8">
        <v>101.04</v>
      </c>
      <c r="H19" s="8">
        <v>104.84</v>
      </c>
      <c r="I19" s="8" t="s">
        <v>10</v>
      </c>
    </row>
    <row r="20" spans="1:9" x14ac:dyDescent="0.3">
      <c r="A20" s="8" t="s">
        <v>12</v>
      </c>
      <c r="B20" s="9">
        <v>45839</v>
      </c>
      <c r="C20" s="8">
        <v>96.5</v>
      </c>
      <c r="D20" s="8">
        <v>98.6</v>
      </c>
      <c r="E20" s="8">
        <v>6200</v>
      </c>
      <c r="F20" s="8">
        <v>6700</v>
      </c>
      <c r="G20" s="8">
        <v>102.18</v>
      </c>
      <c r="H20" s="8">
        <v>108.06</v>
      </c>
      <c r="I20" s="8" t="s">
        <v>10</v>
      </c>
    </row>
    <row r="21" spans="1:9" x14ac:dyDescent="0.3">
      <c r="A21" s="8" t="s">
        <v>12</v>
      </c>
      <c r="B21" s="9">
        <v>45870</v>
      </c>
      <c r="C21" s="8">
        <v>96.5</v>
      </c>
      <c r="D21" s="8">
        <v>98.2</v>
      </c>
      <c r="E21" s="8">
        <v>6200</v>
      </c>
      <c r="F21" s="8">
        <v>6650</v>
      </c>
      <c r="G21" s="8">
        <v>101.76</v>
      </c>
      <c r="H21" s="8">
        <v>107.26</v>
      </c>
      <c r="I21" s="8" t="s">
        <v>10</v>
      </c>
    </row>
    <row r="22" spans="1:9" x14ac:dyDescent="0.3">
      <c r="A22" s="8" t="s">
        <v>12</v>
      </c>
      <c r="B22" s="9">
        <v>45901</v>
      </c>
      <c r="C22" s="8">
        <v>96.5</v>
      </c>
      <c r="D22" s="8">
        <v>97.4</v>
      </c>
      <c r="E22" s="8">
        <v>6200</v>
      </c>
      <c r="F22" s="8">
        <v>6400</v>
      </c>
      <c r="G22" s="8">
        <v>100.93</v>
      </c>
      <c r="H22" s="8">
        <v>103.23</v>
      </c>
      <c r="I22" s="8" t="s">
        <v>10</v>
      </c>
    </row>
    <row r="23" spans="1:9" x14ac:dyDescent="0.3">
      <c r="A23" s="8" t="s">
        <v>12</v>
      </c>
      <c r="B23" s="9">
        <v>45931</v>
      </c>
      <c r="C23" s="8">
        <v>96.5</v>
      </c>
      <c r="D23" s="8">
        <v>96.7</v>
      </c>
      <c r="E23" s="8">
        <v>6200</v>
      </c>
      <c r="F23" s="8">
        <v>6150</v>
      </c>
      <c r="G23" s="8">
        <v>100.21</v>
      </c>
      <c r="H23" s="8">
        <v>99.19</v>
      </c>
      <c r="I23" s="8" t="s">
        <v>10</v>
      </c>
    </row>
    <row r="24" spans="1:9" x14ac:dyDescent="0.3">
      <c r="A24" s="8" t="s">
        <v>12</v>
      </c>
      <c r="B24" s="9">
        <v>45962</v>
      </c>
      <c r="C24" s="8">
        <v>96.5</v>
      </c>
      <c r="D24" s="8">
        <v>96.1</v>
      </c>
      <c r="E24" s="8">
        <v>6200</v>
      </c>
      <c r="F24" s="8">
        <v>5980</v>
      </c>
      <c r="G24" s="8">
        <v>99.59</v>
      </c>
      <c r="H24" s="8">
        <v>96.45</v>
      </c>
      <c r="I24" s="8" t="s">
        <v>10</v>
      </c>
    </row>
    <row r="25" spans="1:9" x14ac:dyDescent="0.3">
      <c r="A25" s="8" t="s">
        <v>12</v>
      </c>
      <c r="B25" s="9">
        <v>45992</v>
      </c>
      <c r="C25" s="8">
        <v>96.5</v>
      </c>
      <c r="D25" s="8">
        <v>97.2</v>
      </c>
      <c r="E25" s="8">
        <v>6200</v>
      </c>
      <c r="F25" s="8">
        <v>6200</v>
      </c>
      <c r="G25" s="8">
        <v>100.73</v>
      </c>
      <c r="H25" s="8">
        <v>100</v>
      </c>
      <c r="I25" s="8" t="s">
        <v>10</v>
      </c>
    </row>
    <row r="26" spans="1:9" x14ac:dyDescent="0.3">
      <c r="A26" s="8" t="s">
        <v>13</v>
      </c>
      <c r="B26" s="9">
        <v>45658</v>
      </c>
      <c r="C26" s="8">
        <v>97.5</v>
      </c>
      <c r="D26" s="8">
        <v>98.5</v>
      </c>
      <c r="E26" s="8">
        <v>5100</v>
      </c>
      <c r="F26" s="8">
        <v>5200</v>
      </c>
      <c r="G26" s="8">
        <v>101.03</v>
      </c>
      <c r="H26" s="8">
        <v>101.96</v>
      </c>
      <c r="I26" s="8" t="s">
        <v>10</v>
      </c>
    </row>
    <row r="27" spans="1:9" x14ac:dyDescent="0.3">
      <c r="A27" s="8" t="s">
        <v>13</v>
      </c>
      <c r="B27" s="9">
        <v>45689</v>
      </c>
      <c r="C27" s="8">
        <v>97.5</v>
      </c>
      <c r="D27" s="8">
        <v>97.8</v>
      </c>
      <c r="E27" s="8">
        <v>5100</v>
      </c>
      <c r="F27" s="8">
        <v>4980</v>
      </c>
      <c r="G27" s="8">
        <v>100.31</v>
      </c>
      <c r="H27" s="8">
        <v>97.65</v>
      </c>
      <c r="I27" s="8" t="s">
        <v>10</v>
      </c>
    </row>
    <row r="28" spans="1:9" x14ac:dyDescent="0.3">
      <c r="A28" s="8" t="s">
        <v>13</v>
      </c>
      <c r="B28" s="9">
        <v>45717</v>
      </c>
      <c r="C28" s="8">
        <v>97.5</v>
      </c>
      <c r="D28" s="8">
        <v>99</v>
      </c>
      <c r="E28" s="8">
        <v>5100</v>
      </c>
      <c r="F28" s="8">
        <v>5300</v>
      </c>
      <c r="G28" s="8">
        <v>101.54</v>
      </c>
      <c r="H28" s="8">
        <v>103.92</v>
      </c>
      <c r="I28" s="8" t="s">
        <v>10</v>
      </c>
    </row>
    <row r="29" spans="1:9" x14ac:dyDescent="0.3">
      <c r="A29" s="8" t="s">
        <v>13</v>
      </c>
      <c r="B29" s="9">
        <v>45748</v>
      </c>
      <c r="C29" s="8">
        <v>97.5</v>
      </c>
      <c r="D29" s="8">
        <v>97.4</v>
      </c>
      <c r="E29" s="8">
        <v>5100</v>
      </c>
      <c r="F29" s="8">
        <v>5050</v>
      </c>
      <c r="G29" s="8">
        <v>99.9</v>
      </c>
      <c r="H29" s="8">
        <v>99.02</v>
      </c>
      <c r="I29" s="8" t="s">
        <v>10</v>
      </c>
    </row>
    <row r="30" spans="1:9" x14ac:dyDescent="0.3">
      <c r="A30" s="8" t="s">
        <v>13</v>
      </c>
      <c r="B30" s="9">
        <v>45778</v>
      </c>
      <c r="C30" s="8">
        <v>97.5</v>
      </c>
      <c r="D30" s="8">
        <v>95.9</v>
      </c>
      <c r="E30" s="8">
        <v>5100</v>
      </c>
      <c r="F30" s="8">
        <v>4870</v>
      </c>
      <c r="G30" s="8">
        <v>98.36</v>
      </c>
      <c r="H30" s="8">
        <v>95.49</v>
      </c>
      <c r="I30" s="8" t="s">
        <v>10</v>
      </c>
    </row>
    <row r="31" spans="1:9" x14ac:dyDescent="0.3">
      <c r="A31" s="8" t="s">
        <v>13</v>
      </c>
      <c r="B31" s="9">
        <v>45809</v>
      </c>
      <c r="C31" s="8">
        <v>97.5</v>
      </c>
      <c r="D31" s="8">
        <v>98.8</v>
      </c>
      <c r="E31" s="8">
        <v>5100</v>
      </c>
      <c r="F31" s="8">
        <v>5400</v>
      </c>
      <c r="G31" s="8">
        <v>101.33</v>
      </c>
      <c r="H31" s="8">
        <v>105.88</v>
      </c>
      <c r="I31" s="8" t="s">
        <v>10</v>
      </c>
    </row>
    <row r="32" spans="1:9" x14ac:dyDescent="0.3">
      <c r="A32" s="8" t="s">
        <v>13</v>
      </c>
      <c r="B32" s="9">
        <v>45839</v>
      </c>
      <c r="C32" s="8">
        <v>97.5</v>
      </c>
      <c r="D32" s="8">
        <v>99.3</v>
      </c>
      <c r="E32" s="8">
        <v>5100</v>
      </c>
      <c r="F32" s="8">
        <v>5600</v>
      </c>
      <c r="G32" s="8">
        <v>101.85</v>
      </c>
      <c r="H32" s="8">
        <v>109.8</v>
      </c>
      <c r="I32" s="8" t="s">
        <v>10</v>
      </c>
    </row>
    <row r="33" spans="1:9" x14ac:dyDescent="0.3">
      <c r="A33" s="8" t="s">
        <v>13</v>
      </c>
      <c r="B33" s="9">
        <v>45870</v>
      </c>
      <c r="C33" s="8">
        <v>97.5</v>
      </c>
      <c r="D33" s="8">
        <v>99</v>
      </c>
      <c r="E33" s="8">
        <v>5100</v>
      </c>
      <c r="F33" s="8">
        <v>5520</v>
      </c>
      <c r="G33" s="8">
        <v>101.54</v>
      </c>
      <c r="H33" s="8">
        <v>108.24</v>
      </c>
      <c r="I33" s="8" t="s">
        <v>10</v>
      </c>
    </row>
    <row r="34" spans="1:9" x14ac:dyDescent="0.3">
      <c r="A34" s="8" t="s">
        <v>13</v>
      </c>
      <c r="B34" s="9">
        <v>45901</v>
      </c>
      <c r="C34" s="8">
        <v>97.5</v>
      </c>
      <c r="D34" s="8">
        <v>98.2</v>
      </c>
      <c r="E34" s="8">
        <v>5100</v>
      </c>
      <c r="F34" s="8">
        <v>5250</v>
      </c>
      <c r="G34" s="8">
        <v>100.72</v>
      </c>
      <c r="H34" s="8">
        <v>102.94</v>
      </c>
      <c r="I34" s="8" t="s">
        <v>10</v>
      </c>
    </row>
    <row r="35" spans="1:9" x14ac:dyDescent="0.3">
      <c r="A35" s="8" t="s">
        <v>13</v>
      </c>
      <c r="B35" s="9">
        <v>45931</v>
      </c>
      <c r="C35" s="8">
        <v>97.5</v>
      </c>
      <c r="D35" s="8">
        <v>97.6</v>
      </c>
      <c r="E35" s="8">
        <v>5100</v>
      </c>
      <c r="F35" s="8">
        <v>5010</v>
      </c>
      <c r="G35" s="8">
        <v>100.1</v>
      </c>
      <c r="H35" s="8">
        <v>98.24</v>
      </c>
      <c r="I35" s="8" t="s">
        <v>10</v>
      </c>
    </row>
    <row r="36" spans="1:9" x14ac:dyDescent="0.3">
      <c r="A36" s="8" t="s">
        <v>13</v>
      </c>
      <c r="B36" s="9">
        <v>45962</v>
      </c>
      <c r="C36" s="8">
        <v>97.5</v>
      </c>
      <c r="D36" s="8">
        <v>97.1</v>
      </c>
      <c r="E36" s="8">
        <v>5100</v>
      </c>
      <c r="F36" s="8">
        <v>4900</v>
      </c>
      <c r="G36" s="8">
        <v>99.59</v>
      </c>
      <c r="H36" s="8">
        <v>96.08</v>
      </c>
      <c r="I36" s="8" t="s">
        <v>10</v>
      </c>
    </row>
    <row r="37" spans="1:9" x14ac:dyDescent="0.3">
      <c r="A37" s="8" t="s">
        <v>13</v>
      </c>
      <c r="B37" s="9">
        <v>45992</v>
      </c>
      <c r="C37" s="8">
        <v>97.5</v>
      </c>
      <c r="D37" s="8">
        <v>98.3</v>
      </c>
      <c r="E37" s="8">
        <v>5100</v>
      </c>
      <c r="F37" s="8">
        <v>5150</v>
      </c>
      <c r="G37" s="8">
        <v>100.82</v>
      </c>
      <c r="H37" s="8">
        <v>100.98</v>
      </c>
      <c r="I37" s="8" t="s">
        <v>10</v>
      </c>
    </row>
    <row r="38" spans="1:9" x14ac:dyDescent="0.3">
      <c r="A38" s="8" t="s">
        <v>14</v>
      </c>
      <c r="B38" s="9">
        <v>45658</v>
      </c>
      <c r="C38" s="8">
        <v>96</v>
      </c>
      <c r="D38" s="8">
        <v>97.1</v>
      </c>
      <c r="E38" s="8">
        <v>3600</v>
      </c>
      <c r="F38" s="8">
        <v>3650</v>
      </c>
      <c r="G38" s="8">
        <v>101.15</v>
      </c>
      <c r="H38" s="8">
        <v>101.39</v>
      </c>
      <c r="I38" s="8" t="s">
        <v>10</v>
      </c>
    </row>
    <row r="39" spans="1:9" x14ac:dyDescent="0.3">
      <c r="A39" s="8" t="s">
        <v>14</v>
      </c>
      <c r="B39" s="9">
        <v>45689</v>
      </c>
      <c r="C39" s="8">
        <v>96</v>
      </c>
      <c r="D39" s="8">
        <v>96.2</v>
      </c>
      <c r="E39" s="8">
        <v>3600</v>
      </c>
      <c r="F39" s="8">
        <v>3480</v>
      </c>
      <c r="G39" s="8">
        <v>100.21</v>
      </c>
      <c r="H39" s="8">
        <v>96.67</v>
      </c>
      <c r="I39" s="8" t="s">
        <v>10</v>
      </c>
    </row>
    <row r="40" spans="1:9" x14ac:dyDescent="0.3">
      <c r="A40" s="8" t="s">
        <v>14</v>
      </c>
      <c r="B40" s="9">
        <v>45717</v>
      </c>
      <c r="C40" s="8">
        <v>96</v>
      </c>
      <c r="D40" s="8">
        <v>97.8</v>
      </c>
      <c r="E40" s="8">
        <v>3600</v>
      </c>
      <c r="F40" s="8">
        <v>3720</v>
      </c>
      <c r="G40" s="8">
        <v>101.88</v>
      </c>
      <c r="H40" s="8">
        <v>103.33</v>
      </c>
      <c r="I40" s="8" t="s">
        <v>10</v>
      </c>
    </row>
    <row r="41" spans="1:9" x14ac:dyDescent="0.3">
      <c r="A41" s="8" t="s">
        <v>14</v>
      </c>
      <c r="B41" s="9">
        <v>45748</v>
      </c>
      <c r="C41" s="8">
        <v>96</v>
      </c>
      <c r="D41" s="8">
        <v>96</v>
      </c>
      <c r="E41" s="8">
        <v>3600</v>
      </c>
      <c r="F41" s="8">
        <v>3560</v>
      </c>
      <c r="G41" s="8">
        <v>100</v>
      </c>
      <c r="H41" s="8">
        <v>98.89</v>
      </c>
      <c r="I41" s="8" t="s">
        <v>10</v>
      </c>
    </row>
    <row r="42" spans="1:9" x14ac:dyDescent="0.3">
      <c r="A42" s="8" t="s">
        <v>14</v>
      </c>
      <c r="B42" s="9">
        <v>45778</v>
      </c>
      <c r="C42" s="8">
        <v>96</v>
      </c>
      <c r="D42" s="8">
        <v>93.5</v>
      </c>
      <c r="E42" s="8">
        <v>3600</v>
      </c>
      <c r="F42" s="8">
        <v>3400</v>
      </c>
      <c r="G42" s="8">
        <v>97.4</v>
      </c>
      <c r="H42" s="8">
        <v>94.44</v>
      </c>
      <c r="I42" s="8" t="s">
        <v>11</v>
      </c>
    </row>
    <row r="43" spans="1:9" x14ac:dyDescent="0.3">
      <c r="A43" s="8" t="s">
        <v>14</v>
      </c>
      <c r="B43" s="9">
        <v>45809</v>
      </c>
      <c r="C43" s="8">
        <v>96</v>
      </c>
      <c r="D43" s="8">
        <v>97</v>
      </c>
      <c r="E43" s="8">
        <v>3600</v>
      </c>
      <c r="F43" s="8">
        <v>3820</v>
      </c>
      <c r="G43" s="8">
        <v>101.04</v>
      </c>
      <c r="H43" s="8">
        <v>106.11</v>
      </c>
      <c r="I43" s="8" t="s">
        <v>10</v>
      </c>
    </row>
    <row r="44" spans="1:9" x14ac:dyDescent="0.3">
      <c r="A44" s="8" t="s">
        <v>14</v>
      </c>
      <c r="B44" s="9">
        <v>45839</v>
      </c>
      <c r="C44" s="8">
        <v>96</v>
      </c>
      <c r="D44" s="8">
        <v>98.2</v>
      </c>
      <c r="E44" s="8">
        <v>3600</v>
      </c>
      <c r="F44" s="8">
        <v>3950</v>
      </c>
      <c r="G44" s="8">
        <v>102.29</v>
      </c>
      <c r="H44" s="8">
        <v>109.72</v>
      </c>
      <c r="I44" s="8" t="s">
        <v>10</v>
      </c>
    </row>
    <row r="45" spans="1:9" x14ac:dyDescent="0.3">
      <c r="A45" s="8" t="s">
        <v>14</v>
      </c>
      <c r="B45" s="9">
        <v>45870</v>
      </c>
      <c r="C45" s="8">
        <v>96</v>
      </c>
      <c r="D45" s="8">
        <v>97.8</v>
      </c>
      <c r="E45" s="8">
        <v>3600</v>
      </c>
      <c r="F45" s="8">
        <v>3900</v>
      </c>
      <c r="G45" s="8">
        <v>101.88</v>
      </c>
      <c r="H45" s="8">
        <v>108.33</v>
      </c>
      <c r="I45" s="8" t="s">
        <v>10</v>
      </c>
    </row>
    <row r="46" spans="1:9" x14ac:dyDescent="0.3">
      <c r="A46" s="8" t="s">
        <v>14</v>
      </c>
      <c r="B46" s="9">
        <v>45901</v>
      </c>
      <c r="C46" s="8">
        <v>96</v>
      </c>
      <c r="D46" s="8">
        <v>97</v>
      </c>
      <c r="E46" s="8">
        <v>3600</v>
      </c>
      <c r="F46" s="8">
        <v>3700</v>
      </c>
      <c r="G46" s="8">
        <v>101.04</v>
      </c>
      <c r="H46" s="8">
        <v>102.78</v>
      </c>
      <c r="I46" s="8" t="s">
        <v>10</v>
      </c>
    </row>
    <row r="47" spans="1:9" x14ac:dyDescent="0.3">
      <c r="A47" s="8" t="s">
        <v>14</v>
      </c>
      <c r="B47" s="9">
        <v>45931</v>
      </c>
      <c r="C47" s="8">
        <v>96</v>
      </c>
      <c r="D47" s="8">
        <v>96.3</v>
      </c>
      <c r="E47" s="8">
        <v>3600</v>
      </c>
      <c r="F47" s="8">
        <v>3520</v>
      </c>
      <c r="G47" s="8">
        <v>100.31</v>
      </c>
      <c r="H47" s="8">
        <v>97.78</v>
      </c>
      <c r="I47" s="8" t="s">
        <v>10</v>
      </c>
    </row>
    <row r="48" spans="1:9" x14ac:dyDescent="0.3">
      <c r="A48" s="8" t="s">
        <v>14</v>
      </c>
      <c r="B48" s="9">
        <v>45962</v>
      </c>
      <c r="C48" s="8">
        <v>96</v>
      </c>
      <c r="D48" s="8">
        <v>95.7</v>
      </c>
      <c r="E48" s="8">
        <v>3600</v>
      </c>
      <c r="F48" s="8">
        <v>3440</v>
      </c>
      <c r="G48" s="8">
        <v>99.69</v>
      </c>
      <c r="H48" s="8">
        <v>95.56</v>
      </c>
      <c r="I48" s="8" t="s">
        <v>10</v>
      </c>
    </row>
    <row r="49" spans="1:9" x14ac:dyDescent="0.3">
      <c r="A49" s="8" t="s">
        <v>14</v>
      </c>
      <c r="B49" s="9">
        <v>45992</v>
      </c>
      <c r="C49" s="8">
        <v>96</v>
      </c>
      <c r="D49" s="8">
        <v>96.9</v>
      </c>
      <c r="E49" s="8">
        <v>3600</v>
      </c>
      <c r="F49" s="8">
        <v>3610</v>
      </c>
      <c r="G49" s="8">
        <v>100.94</v>
      </c>
      <c r="H49" s="8">
        <v>100.28</v>
      </c>
      <c r="I49" s="8" t="s">
        <v>10</v>
      </c>
    </row>
    <row r="50" spans="1:9" x14ac:dyDescent="0.3">
      <c r="A50" s="8" t="s">
        <v>15</v>
      </c>
      <c r="B50" s="9">
        <v>45658</v>
      </c>
      <c r="C50" s="8">
        <v>97</v>
      </c>
      <c r="D50" s="8">
        <v>98</v>
      </c>
      <c r="E50" s="8">
        <v>5500</v>
      </c>
      <c r="F50" s="8">
        <v>5600</v>
      </c>
      <c r="G50" s="8">
        <v>101.03</v>
      </c>
      <c r="H50" s="8">
        <v>101.82</v>
      </c>
      <c r="I50" s="8" t="s">
        <v>10</v>
      </c>
    </row>
    <row r="51" spans="1:9" x14ac:dyDescent="0.3">
      <c r="A51" s="8" t="s">
        <v>15</v>
      </c>
      <c r="B51" s="9">
        <v>45689</v>
      </c>
      <c r="C51" s="8">
        <v>97</v>
      </c>
      <c r="D51" s="8">
        <v>97.2</v>
      </c>
      <c r="E51" s="8">
        <v>5500</v>
      </c>
      <c r="F51" s="8">
        <v>5350</v>
      </c>
      <c r="G51" s="8">
        <v>100.21</v>
      </c>
      <c r="H51" s="8">
        <v>97.27</v>
      </c>
      <c r="I51" s="8" t="s">
        <v>10</v>
      </c>
    </row>
    <row r="52" spans="1:9" x14ac:dyDescent="0.3">
      <c r="A52" s="8" t="s">
        <v>15</v>
      </c>
      <c r="B52" s="9">
        <v>45717</v>
      </c>
      <c r="C52" s="8">
        <v>97</v>
      </c>
      <c r="D52" s="8">
        <v>98.5</v>
      </c>
      <c r="E52" s="8">
        <v>5500</v>
      </c>
      <c r="F52" s="8">
        <v>5700</v>
      </c>
      <c r="G52" s="8">
        <v>101.55</v>
      </c>
      <c r="H52" s="8">
        <v>103.64</v>
      </c>
      <c r="I52" s="8" t="s">
        <v>10</v>
      </c>
    </row>
    <row r="53" spans="1:9" x14ac:dyDescent="0.3">
      <c r="A53" s="8" t="s">
        <v>15</v>
      </c>
      <c r="B53" s="9">
        <v>45748</v>
      </c>
      <c r="C53" s="8">
        <v>97</v>
      </c>
      <c r="D53" s="8">
        <v>96.8</v>
      </c>
      <c r="E53" s="8">
        <v>5500</v>
      </c>
      <c r="F53" s="8">
        <v>5450</v>
      </c>
      <c r="G53" s="8">
        <v>99.79</v>
      </c>
      <c r="H53" s="8">
        <v>99.09</v>
      </c>
      <c r="I53" s="8" t="s">
        <v>10</v>
      </c>
    </row>
    <row r="54" spans="1:9" x14ac:dyDescent="0.3">
      <c r="A54" s="8" t="s">
        <v>15</v>
      </c>
      <c r="B54" s="9">
        <v>45778</v>
      </c>
      <c r="C54" s="8">
        <v>97</v>
      </c>
      <c r="D54" s="8">
        <v>95.1</v>
      </c>
      <c r="E54" s="8">
        <v>5500</v>
      </c>
      <c r="F54" s="8">
        <v>5200</v>
      </c>
      <c r="G54" s="8">
        <v>98.04</v>
      </c>
      <c r="H54" s="8">
        <v>94.55</v>
      </c>
      <c r="I54" s="8" t="s">
        <v>11</v>
      </c>
    </row>
    <row r="55" spans="1:9" x14ac:dyDescent="0.3">
      <c r="A55" s="8" t="s">
        <v>15</v>
      </c>
      <c r="B55" s="9">
        <v>45809</v>
      </c>
      <c r="C55" s="8">
        <v>97</v>
      </c>
      <c r="D55" s="8">
        <v>98.2</v>
      </c>
      <c r="E55" s="8">
        <v>5500</v>
      </c>
      <c r="F55" s="8">
        <v>5820</v>
      </c>
      <c r="G55" s="8">
        <v>101.24</v>
      </c>
      <c r="H55" s="8">
        <v>105.82</v>
      </c>
      <c r="I55" s="8" t="s">
        <v>10</v>
      </c>
    </row>
    <row r="56" spans="1:9" x14ac:dyDescent="0.3">
      <c r="A56" s="8" t="s">
        <v>15</v>
      </c>
      <c r="B56" s="9">
        <v>45839</v>
      </c>
      <c r="C56" s="8">
        <v>97</v>
      </c>
      <c r="D56" s="8">
        <v>98.9</v>
      </c>
      <c r="E56" s="8">
        <v>5500</v>
      </c>
      <c r="F56" s="8">
        <v>6000</v>
      </c>
      <c r="G56" s="8">
        <v>101.96</v>
      </c>
      <c r="H56" s="8">
        <v>109.09</v>
      </c>
      <c r="I56" s="8" t="s">
        <v>10</v>
      </c>
    </row>
    <row r="57" spans="1:9" x14ac:dyDescent="0.3">
      <c r="A57" s="8" t="s">
        <v>15</v>
      </c>
      <c r="B57" s="9">
        <v>45870</v>
      </c>
      <c r="C57" s="8">
        <v>97</v>
      </c>
      <c r="D57" s="8">
        <v>98.5</v>
      </c>
      <c r="E57" s="8">
        <v>5500</v>
      </c>
      <c r="F57" s="8">
        <v>5950</v>
      </c>
      <c r="G57" s="8">
        <v>101.55</v>
      </c>
      <c r="H57" s="8">
        <v>108.18</v>
      </c>
      <c r="I57" s="8" t="s">
        <v>10</v>
      </c>
    </row>
    <row r="58" spans="1:9" x14ac:dyDescent="0.3">
      <c r="A58" s="8" t="s">
        <v>15</v>
      </c>
      <c r="B58" s="9">
        <v>45901</v>
      </c>
      <c r="C58" s="8">
        <v>97</v>
      </c>
      <c r="D58" s="8">
        <v>97.7</v>
      </c>
      <c r="E58" s="8">
        <v>5500</v>
      </c>
      <c r="F58" s="8">
        <v>5680</v>
      </c>
      <c r="G58" s="8">
        <v>100.72</v>
      </c>
      <c r="H58" s="8">
        <v>103.27</v>
      </c>
      <c r="I58" s="8" t="s">
        <v>10</v>
      </c>
    </row>
    <row r="59" spans="1:9" x14ac:dyDescent="0.3">
      <c r="A59" s="8" t="s">
        <v>15</v>
      </c>
      <c r="B59" s="9">
        <v>45931</v>
      </c>
      <c r="C59" s="8">
        <v>97</v>
      </c>
      <c r="D59" s="8">
        <v>97</v>
      </c>
      <c r="E59" s="8">
        <v>5500</v>
      </c>
      <c r="F59" s="8">
        <v>5420</v>
      </c>
      <c r="G59" s="8">
        <v>100</v>
      </c>
      <c r="H59" s="8">
        <v>98.55</v>
      </c>
      <c r="I59" s="8" t="s">
        <v>10</v>
      </c>
    </row>
    <row r="60" spans="1:9" x14ac:dyDescent="0.3">
      <c r="A60" s="8" t="s">
        <v>15</v>
      </c>
      <c r="B60" s="9">
        <v>45962</v>
      </c>
      <c r="C60" s="8">
        <v>97</v>
      </c>
      <c r="D60" s="8">
        <v>96.4</v>
      </c>
      <c r="E60" s="8">
        <v>5500</v>
      </c>
      <c r="F60" s="8">
        <v>5290</v>
      </c>
      <c r="G60" s="8">
        <v>99.38</v>
      </c>
      <c r="H60" s="8">
        <v>96.18</v>
      </c>
      <c r="I60" s="8" t="s">
        <v>10</v>
      </c>
    </row>
    <row r="61" spans="1:9" x14ac:dyDescent="0.3">
      <c r="A61" s="8" t="s">
        <v>15</v>
      </c>
      <c r="B61" s="9">
        <v>45992</v>
      </c>
      <c r="C61" s="8">
        <v>97</v>
      </c>
      <c r="D61" s="8">
        <v>97.6</v>
      </c>
      <c r="E61" s="8">
        <v>5500</v>
      </c>
      <c r="F61" s="8">
        <v>5550</v>
      </c>
      <c r="G61" s="8">
        <v>100.62</v>
      </c>
      <c r="H61" s="8">
        <v>100.91</v>
      </c>
      <c r="I61" s="8" t="s">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C554-D6A9-4A53-A37B-218AFE760B93}">
  <dimension ref="A1:I4"/>
  <sheetViews>
    <sheetView zoomScale="118" zoomScaleNormal="118" workbookViewId="0">
      <selection activeCell="E12" sqref="E12"/>
    </sheetView>
  </sheetViews>
  <sheetFormatPr defaultRowHeight="14.4" x14ac:dyDescent="0.3"/>
  <cols>
    <col min="1" max="1" width="21.109375" bestFit="1" customWidth="1"/>
    <col min="2" max="2" width="14.44140625" bestFit="1" customWidth="1"/>
    <col min="3" max="3" width="23.5546875" bestFit="1" customWidth="1"/>
    <col min="4" max="4" width="19.44140625" bestFit="1" customWidth="1"/>
    <col min="5" max="5" width="25.77734375" bestFit="1" customWidth="1"/>
    <col min="6" max="6" width="21.6640625" bestFit="1" customWidth="1"/>
    <col min="7" max="7" width="14.44140625" bestFit="1" customWidth="1"/>
    <col min="8" max="8" width="14.5546875" bestFit="1" customWidth="1"/>
    <col min="9" max="9" width="10.33203125" bestFit="1" customWidth="1"/>
  </cols>
  <sheetData>
    <row r="1" spans="1:9" x14ac:dyDescent="0.3">
      <c r="A1" s="10" t="s">
        <v>0</v>
      </c>
      <c r="B1" s="11" t="s">
        <v>1</v>
      </c>
      <c r="C1" s="11" t="s">
        <v>2</v>
      </c>
      <c r="D1" s="11" t="s">
        <v>3</v>
      </c>
      <c r="E1" s="11" t="s">
        <v>4</v>
      </c>
      <c r="F1" s="11" t="s">
        <v>5</v>
      </c>
      <c r="G1" s="11" t="s">
        <v>6</v>
      </c>
      <c r="H1" s="11" t="s">
        <v>7</v>
      </c>
      <c r="I1" s="12" t="s">
        <v>8</v>
      </c>
    </row>
    <row r="2" spans="1:9" x14ac:dyDescent="0.3">
      <c r="A2" s="13" t="s">
        <v>9</v>
      </c>
      <c r="B2" s="9">
        <v>45778</v>
      </c>
      <c r="C2" s="8">
        <v>97</v>
      </c>
      <c r="D2" s="8">
        <v>95.3</v>
      </c>
      <c r="E2" s="8">
        <v>4000</v>
      </c>
      <c r="F2" s="8">
        <v>3780</v>
      </c>
      <c r="G2" s="8">
        <v>98.25</v>
      </c>
      <c r="H2" s="8">
        <v>94.5</v>
      </c>
      <c r="I2" s="14" t="s">
        <v>11</v>
      </c>
    </row>
    <row r="3" spans="1:9" x14ac:dyDescent="0.3">
      <c r="A3" s="13" t="s">
        <v>14</v>
      </c>
      <c r="B3" s="9">
        <v>45778</v>
      </c>
      <c r="C3" s="8">
        <v>96</v>
      </c>
      <c r="D3" s="8">
        <v>93.5</v>
      </c>
      <c r="E3" s="8">
        <v>3600</v>
      </c>
      <c r="F3" s="8">
        <v>3400</v>
      </c>
      <c r="G3" s="8">
        <v>97.4</v>
      </c>
      <c r="H3" s="8">
        <v>94.44</v>
      </c>
      <c r="I3" s="14" t="s">
        <v>11</v>
      </c>
    </row>
    <row r="4" spans="1:9" x14ac:dyDescent="0.3">
      <c r="A4" s="15" t="s">
        <v>15</v>
      </c>
      <c r="B4" s="16">
        <v>45778</v>
      </c>
      <c r="C4" s="17">
        <v>97</v>
      </c>
      <c r="D4" s="17">
        <v>95.1</v>
      </c>
      <c r="E4" s="17">
        <v>5500</v>
      </c>
      <c r="F4" s="17">
        <v>5200</v>
      </c>
      <c r="G4" s="17">
        <v>98.04</v>
      </c>
      <c r="H4" s="17">
        <v>94.55</v>
      </c>
      <c r="I4" s="18" t="s">
        <v>11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F60613-94C2-4248-A1D3-1E649D7C97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SLA Table</vt:lpstr>
      <vt:lpstr>Breach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 Hari Nataraj S</dc:creator>
  <cp:lastModifiedBy>Jai Hari Nataraj S</cp:lastModifiedBy>
  <dcterms:created xsi:type="dcterms:W3CDTF">2015-06-05T18:17:20Z</dcterms:created>
  <dcterms:modified xsi:type="dcterms:W3CDTF">2026-06-03T08:04:40Z</dcterms:modified>
</cp:coreProperties>
</file>